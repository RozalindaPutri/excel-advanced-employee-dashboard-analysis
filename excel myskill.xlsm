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dbbcb748666240d/myskill/"/>
    </mc:Choice>
  </mc:AlternateContent>
  <xr:revisionPtr revIDLastSave="31" documentId="8_{52ABD3C9-5A36-4502-A70C-F46B25F07D35}" xr6:coauthVersionLast="47" xr6:coauthVersionMax="47" xr10:uidLastSave="{71DD8B77-B734-4274-8319-8B5CD49E8AAD}"/>
  <bookViews>
    <workbookView xWindow="-110" yWindow="-110" windowWidth="19420" windowHeight="11500" activeTab="2" xr2:uid="{A132B61E-B8E6-4F42-B0B1-058CCB938B55}"/>
  </bookViews>
  <sheets>
    <sheet name="Question" sheetId="4" r:id="rId1"/>
    <sheet name="Helper Pivot Tabel" sheetId="9" r:id="rId2"/>
    <sheet name="Your Dashboard" sheetId="1" r:id="rId3"/>
    <sheet name="Data Karyawan" sheetId="2" r:id="rId4"/>
    <sheet name="Master Position" sheetId="5" r:id="rId5"/>
    <sheet name="Master Gender" sheetId="3" r:id="rId6"/>
    <sheet name="Master Salary" sheetId="6" r:id="rId7"/>
    <sheet name="Master Bonus" sheetId="7" r:id="rId8"/>
  </sheets>
  <externalReferences>
    <externalReference r:id="rId9"/>
  </externalReferences>
  <definedNames>
    <definedName name="_xlnm._FilterDatabase" localSheetId="3" hidden="1">'Data Karyawan'!$B$1:$B$124</definedName>
    <definedName name="anscount" hidden="1">2</definedName>
    <definedName name="Base">'Data Karyawan'!$C$1:$C$124</definedName>
    <definedName name="limcount" hidden="1">2</definedName>
    <definedName name="NamaKaryawan">'Data Karyawan'!$B$2:$B$124</definedName>
    <definedName name="rngSeasonList">'[1]5. Lists'!$A$2:$A$47</definedName>
    <definedName name="sencount" hidden="1">4</definedName>
  </definedNames>
  <calcPr calcId="191029"/>
  <pivotCaches>
    <pivotCache cacheId="0" r:id="rId10"/>
    <pivotCache cacheId="1" r:id="rId11"/>
    <pivotCache cacheId="2" r:id="rId12"/>
    <pivotCache cacheId="3" r:id="rId13"/>
    <pivotCache cacheId="4" r:id="rId14"/>
    <pivotCache cacheId="5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2" l="1" a="1"/>
  <c r="S2" i="2" s="1"/>
  <c r="R2" i="2" a="1"/>
  <c r="R2" i="2" s="1"/>
  <c r="N2" i="2" a="1"/>
  <c r="N2" i="2" s="1"/>
  <c r="P2" i="2" s="1" a="1"/>
  <c r="P2" i="2" s="1"/>
  <c r="M2" i="2" a="1"/>
  <c r="M2" i="2" s="1"/>
  <c r="K2" i="2" a="1"/>
  <c r="K2" i="2" s="1"/>
  <c r="L2" i="2" s="1" a="1"/>
  <c r="L2" i="2" s="1"/>
  <c r="O2" i="2" l="1" a="1"/>
  <c r="O2" i="2" s="1"/>
  <c r="Q2" i="2" s="1" a="1"/>
  <c r="Q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<sst xmlns="http://schemas.openxmlformats.org/spreadsheetml/2006/main" count="1377" uniqueCount="379">
  <si>
    <t>Employee Data</t>
  </si>
  <si>
    <t>Base</t>
  </si>
  <si>
    <t>No ID</t>
  </si>
  <si>
    <t>Nama Karyawan</t>
  </si>
  <si>
    <t>Tipe Karyawan</t>
  </si>
  <si>
    <t>Mulai Bekerja</t>
  </si>
  <si>
    <t>Jabatan</t>
  </si>
  <si>
    <t>Divisi</t>
  </si>
  <si>
    <t>Agama</t>
  </si>
  <si>
    <t>Jenis Kelamin</t>
  </si>
  <si>
    <t>Tempat</t>
  </si>
  <si>
    <t>Tanggal Lahir</t>
  </si>
  <si>
    <t>N1707</t>
  </si>
  <si>
    <t>Dewi Kartini</t>
  </si>
  <si>
    <t>JAKARTA</t>
  </si>
  <si>
    <t>Kontrak</t>
  </si>
  <si>
    <t>Senior Staff</t>
  </si>
  <si>
    <t>Marketing</t>
  </si>
  <si>
    <t>Kristen</t>
  </si>
  <si>
    <t>Perempuan</t>
  </si>
  <si>
    <t>JAKARTA PUSAT</t>
  </si>
  <si>
    <t>N2498</t>
  </si>
  <si>
    <t>Siti Rahayu</t>
  </si>
  <si>
    <t>Islam</t>
  </si>
  <si>
    <t>BANDUNG</t>
  </si>
  <si>
    <t>E2513</t>
  </si>
  <si>
    <t>Lina Puspitasari</t>
  </si>
  <si>
    <t>Karyawan Tetap</t>
  </si>
  <si>
    <t>Supervisor</t>
  </si>
  <si>
    <t>BOGOR</t>
  </si>
  <si>
    <t>N1674</t>
  </si>
  <si>
    <t>Ratna Kusuma</t>
  </si>
  <si>
    <t>Staff</t>
  </si>
  <si>
    <t>Finance</t>
  </si>
  <si>
    <t>E2640</t>
  </si>
  <si>
    <t>Chicco Jerikho</t>
  </si>
  <si>
    <t>General Manager</t>
  </si>
  <si>
    <t>LAMPUNG</t>
  </si>
  <si>
    <t>N2016</t>
  </si>
  <si>
    <t>Arifin Sutedjo</t>
  </si>
  <si>
    <t>E2054</t>
  </si>
  <si>
    <t>Agus Suharto</t>
  </si>
  <si>
    <t>Senior Manager</t>
  </si>
  <si>
    <t>PURBALINGGA</t>
  </si>
  <si>
    <t>E1881</t>
  </si>
  <si>
    <t>Lita Damayanti</t>
  </si>
  <si>
    <t>TANGERANG</t>
  </si>
  <si>
    <t>E2161</t>
  </si>
  <si>
    <t>Eko Pramono</t>
  </si>
  <si>
    <t>N2031</t>
  </si>
  <si>
    <t>Lina Handayani</t>
  </si>
  <si>
    <t>Production</t>
  </si>
  <si>
    <t>N1173</t>
  </si>
  <si>
    <t>Chicco Kurniawan</t>
  </si>
  <si>
    <t>Sales</t>
  </si>
  <si>
    <t>E1005</t>
  </si>
  <si>
    <t>Yanto Setiawan</t>
  </si>
  <si>
    <t>Human Resources</t>
  </si>
  <si>
    <t>TASIKMALAYA</t>
  </si>
  <si>
    <t>E1063</t>
  </si>
  <si>
    <t>Joko Nugroho</t>
  </si>
  <si>
    <t>E1974</t>
  </si>
  <si>
    <t>Arianto Wibowo</t>
  </si>
  <si>
    <t>MEDAN</t>
  </si>
  <si>
    <t>E0828</t>
  </si>
  <si>
    <t>Erwin Gutawa</t>
  </si>
  <si>
    <t>BATANG</t>
  </si>
  <si>
    <t>E1054</t>
  </si>
  <si>
    <t>Aliando Syarief</t>
  </si>
  <si>
    <t>E1703</t>
  </si>
  <si>
    <t>Tuti Rahmawati</t>
  </si>
  <si>
    <t>KARANGANYAR</t>
  </si>
  <si>
    <t>E2840</t>
  </si>
  <si>
    <t>Eko Sutomo</t>
  </si>
  <si>
    <t>TOMOHON</t>
  </si>
  <si>
    <t>E1861</t>
  </si>
  <si>
    <t>Rina Kurniati</t>
  </si>
  <si>
    <t>Junior Manager</t>
  </si>
  <si>
    <t>N1860</t>
  </si>
  <si>
    <t>Arif Setiawan</t>
  </si>
  <si>
    <t>N0951</t>
  </si>
  <si>
    <t>Choky Sitohang</t>
  </si>
  <si>
    <t>BLITAR</t>
  </si>
  <si>
    <t>E2575</t>
  </si>
  <si>
    <t>Retno Cahyani</t>
  </si>
  <si>
    <t>PALEMBANG</t>
  </si>
  <si>
    <t>N2619</t>
  </si>
  <si>
    <t>Benyamin Sueb</t>
  </si>
  <si>
    <t>E2321</t>
  </si>
  <si>
    <t>Rudi Haryanto</t>
  </si>
  <si>
    <t>E2620</t>
  </si>
  <si>
    <t>Alvaro Maldini</t>
  </si>
  <si>
    <t>KUNINGAN</t>
  </si>
  <si>
    <t>E1690</t>
  </si>
  <si>
    <t>Wati Sulistiani</t>
  </si>
  <si>
    <t>E1064</t>
  </si>
  <si>
    <t>Budi Santoso</t>
  </si>
  <si>
    <t>INDRAMAYU</t>
  </si>
  <si>
    <t>E1065</t>
  </si>
  <si>
    <t>Indah Wulandari</t>
  </si>
  <si>
    <t>E1841</t>
  </si>
  <si>
    <t>Dodit Mulyanto</t>
  </si>
  <si>
    <t>E2867</t>
  </si>
  <si>
    <t>Putri Sari</t>
  </si>
  <si>
    <t>N1720</t>
  </si>
  <si>
    <t>Al Ghazali</t>
  </si>
  <si>
    <t>TRENGGALEK</t>
  </si>
  <si>
    <t>E1880</t>
  </si>
  <si>
    <t>Retno Sulistyowati</t>
  </si>
  <si>
    <t>E1929</t>
  </si>
  <si>
    <t>Alvin Adam</t>
  </si>
  <si>
    <t>GROBOGAN</t>
  </si>
  <si>
    <t>E0911</t>
  </si>
  <si>
    <t>Nita Permata</t>
  </si>
  <si>
    <t>SIDOARJO</t>
  </si>
  <si>
    <t>E2170</t>
  </si>
  <si>
    <t>Bertrand Antolin</t>
  </si>
  <si>
    <t>E1111</t>
  </si>
  <si>
    <t>Wulan Puspita</t>
  </si>
  <si>
    <t>E1081</t>
  </si>
  <si>
    <t>Maya Wati</t>
  </si>
  <si>
    <t>TAMAN SARI</t>
  </si>
  <si>
    <t>E2134</t>
  </si>
  <si>
    <t>Aaron Ashab</t>
  </si>
  <si>
    <t>PADANG</t>
  </si>
  <si>
    <t>N2584</t>
  </si>
  <si>
    <t>Surya Permana</t>
  </si>
  <si>
    <t>MALANG</t>
  </si>
  <si>
    <t>N2583</t>
  </si>
  <si>
    <t>Retno Purnomo</t>
  </si>
  <si>
    <t>N1453</t>
  </si>
  <si>
    <t>Joko Susanto</t>
  </si>
  <si>
    <t>CEO</t>
  </si>
  <si>
    <t>BANYUWANGI</t>
  </si>
  <si>
    <t>E1491</t>
  </si>
  <si>
    <t>Donny Alamsyah</t>
  </si>
  <si>
    <t>E1490</t>
  </si>
  <si>
    <t>Nia Fitriani</t>
  </si>
  <si>
    <t>E2201</t>
  </si>
  <si>
    <t>Astuti Hartati</t>
  </si>
  <si>
    <t>N1134</t>
  </si>
  <si>
    <t>Rizal Prasetya</t>
  </si>
  <si>
    <t>DENPASAR</t>
  </si>
  <si>
    <t>JEMBER</t>
  </si>
  <si>
    <t>N1068</t>
  </si>
  <si>
    <t>Nita Wulandari</t>
  </si>
  <si>
    <t>SRAGEN</t>
  </si>
  <si>
    <t>E0896</t>
  </si>
  <si>
    <t>Esa Sigit</t>
  </si>
  <si>
    <t>E0931</t>
  </si>
  <si>
    <t>Rika Sari</t>
  </si>
  <si>
    <t>E0813</t>
  </si>
  <si>
    <t>Winda Pertiwi</t>
  </si>
  <si>
    <t>E3144</t>
  </si>
  <si>
    <t>Agus Santoso</t>
  </si>
  <si>
    <t>E3143</t>
  </si>
  <si>
    <t>Rudi Prasetya</t>
  </si>
  <si>
    <t>N2114</t>
  </si>
  <si>
    <t>Dedy Santoso</t>
  </si>
  <si>
    <t>CILACAP</t>
  </si>
  <si>
    <t>E1885</t>
  </si>
  <si>
    <t>Bagus Satria</t>
  </si>
  <si>
    <t>SUMATRA UTARA</t>
  </si>
  <si>
    <t>E2898</t>
  </si>
  <si>
    <t>Ahmad Hidayat</t>
  </si>
  <si>
    <t>N1565</t>
  </si>
  <si>
    <t>Sigit Saputra</t>
  </si>
  <si>
    <t>N2378</t>
  </si>
  <si>
    <t>Agus Nugroho</t>
  </si>
  <si>
    <t>JOMBANG</t>
  </si>
  <si>
    <t>N1191</t>
  </si>
  <si>
    <t>Joko Sutrisno</t>
  </si>
  <si>
    <t>E1601</t>
  </si>
  <si>
    <t>Iwan Prasetyo</t>
  </si>
  <si>
    <t>GRESIK</t>
  </si>
  <si>
    <t>E3140</t>
  </si>
  <si>
    <t>Dodi Nugraha</t>
  </si>
  <si>
    <t>E3142</t>
  </si>
  <si>
    <t>E1604</t>
  </si>
  <si>
    <t>Dian Purnama</t>
  </si>
  <si>
    <t>TUAL</t>
  </si>
  <si>
    <t>E0892</t>
  </si>
  <si>
    <t>Ernest Prakasa</t>
  </si>
  <si>
    <t>E1109</t>
  </si>
  <si>
    <t>Yudi Susilo</t>
  </si>
  <si>
    <t>E2885</t>
  </si>
  <si>
    <t>E1456</t>
  </si>
  <si>
    <t>Rudi Hartono</t>
  </si>
  <si>
    <t>E1393</t>
  </si>
  <si>
    <t>Rani Kartika</t>
  </si>
  <si>
    <t>TULUNGAGUNG</t>
  </si>
  <si>
    <t>E2322</t>
  </si>
  <si>
    <t>Hadi Nugroho</t>
  </si>
  <si>
    <t>E0806</t>
  </si>
  <si>
    <t>Rina Dewi</t>
  </si>
  <si>
    <t>E1866</t>
  </si>
  <si>
    <t>Agung Prasetyo</t>
  </si>
  <si>
    <t>E2600</t>
  </si>
  <si>
    <t>Sari Wulandari</t>
  </si>
  <si>
    <t>DI YOGYAKARTA</t>
  </si>
  <si>
    <t>E0956</t>
  </si>
  <si>
    <t>Wahyu Prasetyo</t>
  </si>
  <si>
    <t>N2070</t>
  </si>
  <si>
    <t>Bhisma Mulia</t>
  </si>
  <si>
    <t>Procurement</t>
  </si>
  <si>
    <t>PURWOKERTO</t>
  </si>
  <si>
    <t>N2777</t>
  </si>
  <si>
    <t>Mega Fitri</t>
  </si>
  <si>
    <t>E1718</t>
  </si>
  <si>
    <t>Bambang Wijaya</t>
  </si>
  <si>
    <t>E1719</t>
  </si>
  <si>
    <t>Maya Lestari</t>
  </si>
  <si>
    <t>E1994</t>
  </si>
  <si>
    <t>Adi Nugroho</t>
  </si>
  <si>
    <t>SEMARANG</t>
  </si>
  <si>
    <t>N0795</t>
  </si>
  <si>
    <t>Dolly Martin</t>
  </si>
  <si>
    <t>TANJUNG KARANG</t>
  </si>
  <si>
    <t>N1708</t>
  </si>
  <si>
    <t>Wulan Indriani</t>
  </si>
  <si>
    <t>E2071</t>
  </si>
  <si>
    <t>Rina Nurhayati</t>
  </si>
  <si>
    <t>E1049</t>
  </si>
  <si>
    <t>Raina Aryani</t>
  </si>
  <si>
    <t>Executive</t>
  </si>
  <si>
    <t>E1227</t>
  </si>
  <si>
    <t>Tari Anggraini</t>
  </si>
  <si>
    <t>E1138</t>
  </si>
  <si>
    <t>Karen Riyanti</t>
  </si>
  <si>
    <t>IT</t>
  </si>
  <si>
    <t>E0991</t>
  </si>
  <si>
    <t>Titin Aryani</t>
  </si>
  <si>
    <t>Data</t>
  </si>
  <si>
    <t>SITUBONDO</t>
  </si>
  <si>
    <t>E2585</t>
  </si>
  <si>
    <t>Ilsa Utami</t>
  </si>
  <si>
    <t>SALATIGA</t>
  </si>
  <si>
    <t>N2803</t>
  </si>
  <si>
    <t>Jessica Hariyah</t>
  </si>
  <si>
    <t>Customer Service</t>
  </si>
  <si>
    <t>E0948</t>
  </si>
  <si>
    <t>Almira Hasanah</t>
  </si>
  <si>
    <t>E1863</t>
  </si>
  <si>
    <t>Sari Astuti</t>
  </si>
  <si>
    <t>E2819</t>
  </si>
  <si>
    <t>Aurora Anggraini</t>
  </si>
  <si>
    <t>N2549</t>
  </si>
  <si>
    <t>Vivi Andriani</t>
  </si>
  <si>
    <t>N1991</t>
  </si>
  <si>
    <t>Eka Nashiruddin</t>
  </si>
  <si>
    <t>E2082</t>
  </si>
  <si>
    <t>Adiarja Sirait</t>
  </si>
  <si>
    <t>E1989</t>
  </si>
  <si>
    <t>Sidiq Pranowo</t>
  </si>
  <si>
    <t>BEKASI</t>
  </si>
  <si>
    <t>E1987</t>
  </si>
  <si>
    <t>Harsana Budiman</t>
  </si>
  <si>
    <t>E2601</t>
  </si>
  <si>
    <t>Galar Halim</t>
  </si>
  <si>
    <t>N1579</t>
  </si>
  <si>
    <t>Kardi Saptono</t>
  </si>
  <si>
    <t>N0867</t>
  </si>
  <si>
    <t>Sabar Situmorang</t>
  </si>
  <si>
    <t>E2389</t>
  </si>
  <si>
    <t>Dimaz Zulkarnain</t>
  </si>
  <si>
    <t>E1175</t>
  </si>
  <si>
    <t>Balapati Prasetya</t>
  </si>
  <si>
    <t>N1378</t>
  </si>
  <si>
    <t>Eja Widodo</t>
  </si>
  <si>
    <t>E2890</t>
  </si>
  <si>
    <t>Prabu Haryanto</t>
  </si>
  <si>
    <t>PACITAN</t>
  </si>
  <si>
    <t>E0967</t>
  </si>
  <si>
    <t>Cayadi Putra</t>
  </si>
  <si>
    <t>SURABAYA</t>
  </si>
  <si>
    <t>N1660</t>
  </si>
  <si>
    <t>Gambira Pranowo</t>
  </si>
  <si>
    <t>E1806</t>
  </si>
  <si>
    <t>Salman Wasita</t>
  </si>
  <si>
    <t>E1036</t>
  </si>
  <si>
    <t>Wardaya Dongoran</t>
  </si>
  <si>
    <t>N2183</t>
  </si>
  <si>
    <t>Kania Permata</t>
  </si>
  <si>
    <t>TEGAL</t>
  </si>
  <si>
    <t>N1723</t>
  </si>
  <si>
    <t>Eva Yolanda</t>
  </si>
  <si>
    <t>CIMAHI</t>
  </si>
  <si>
    <t>N1583</t>
  </si>
  <si>
    <t>Amalia Yuniar</t>
  </si>
  <si>
    <t>E1512</t>
  </si>
  <si>
    <t>Ade Rahayu</t>
  </si>
  <si>
    <t>MAKASAR</t>
  </si>
  <si>
    <t>E2536</t>
  </si>
  <si>
    <t>Zizi Usada</t>
  </si>
  <si>
    <t>Katolik</t>
  </si>
  <si>
    <t>E1062</t>
  </si>
  <si>
    <t>Gaduh Pratama</t>
  </si>
  <si>
    <t>Account Manager</t>
  </si>
  <si>
    <t>E1162</t>
  </si>
  <si>
    <t>Laras Nuraini</t>
  </si>
  <si>
    <t>E1182</t>
  </si>
  <si>
    <t>Cinthia Gunawan</t>
  </si>
  <si>
    <t>TEBING TINGGI</t>
  </si>
  <si>
    <t>E1922</t>
  </si>
  <si>
    <t>Bagiya Sihombing</t>
  </si>
  <si>
    <t>E1735</t>
  </si>
  <si>
    <t>Violet Mentari</t>
  </si>
  <si>
    <t>N2168</t>
  </si>
  <si>
    <t>Paiman Firgantoro</t>
  </si>
  <si>
    <t>E1016</t>
  </si>
  <si>
    <t>Ophelia Mustofa</t>
  </si>
  <si>
    <t>E2527</t>
  </si>
  <si>
    <t>Darmanto Laksita</t>
  </si>
  <si>
    <t>E1900</t>
  </si>
  <si>
    <t>Kenari Rajasa</t>
  </si>
  <si>
    <t>PEKALONGAN</t>
  </si>
  <si>
    <t>E1909</t>
  </si>
  <si>
    <t>Puti Nadine Prakasa</t>
  </si>
  <si>
    <t>N2857</t>
  </si>
  <si>
    <t>Clara Prasetyo</t>
  </si>
  <si>
    <t>N2139</t>
  </si>
  <si>
    <t>Nabila Prakasa</t>
  </si>
  <si>
    <t>N1568</t>
  </si>
  <si>
    <t>Sutan Tirtayasa Wasita</t>
  </si>
  <si>
    <t>N1713</t>
  </si>
  <si>
    <t>Sari Winarno</t>
  </si>
  <si>
    <t>KPI Performance</t>
  </si>
  <si>
    <t>F</t>
  </si>
  <si>
    <t>M</t>
  </si>
  <si>
    <t>Kode Jabatan</t>
  </si>
  <si>
    <t>Gaji</t>
  </si>
  <si>
    <t>Kode</t>
  </si>
  <si>
    <t>CE</t>
  </si>
  <si>
    <t>GM</t>
  </si>
  <si>
    <t>Laki-Laki</t>
  </si>
  <si>
    <t>SM</t>
  </si>
  <si>
    <t>JM</t>
  </si>
  <si>
    <t>SP</t>
  </si>
  <si>
    <t>SS</t>
  </si>
  <si>
    <t>ST</t>
  </si>
  <si>
    <t>Gunakan Helper Pivot Table dan Dashboard untuk menjawab pertanyaan-pertanyaan berikut ini</t>
  </si>
  <si>
    <t>Name</t>
  </si>
  <si>
    <t>Pengali Gaji Bonus</t>
  </si>
  <si>
    <t>6. Buat Pivot Chart untuk mengetahui % Employee berdasarkan jenis kelamin</t>
  </si>
  <si>
    <t>Syarat KPI &gt;90%</t>
  </si>
  <si>
    <t>7. Buat Pivot Chart untuk mengetahui historical karyawan yang masuk per tahun</t>
  </si>
  <si>
    <t>8. Cleansing data dan record macro untuk data karyawan pada sheets data karyawan untuk menghapus row blank</t>
  </si>
  <si>
    <t>9. Tambahkan code untuk menampilkan kotak pesan / message box di akhir poin 8</t>
  </si>
  <si>
    <t>10. Buatlah Dashboard pada sheets your dashboard --&gt; Contoh pada gambar disamping</t>
  </si>
  <si>
    <t>Count of No ID</t>
  </si>
  <si>
    <t>Row Labels</t>
  </si>
  <si>
    <t>Grand Total</t>
  </si>
  <si>
    <t>1. Berapa total karyawan tetap dengan Base Jakarta? = 75</t>
  </si>
  <si>
    <t xml:space="preserve"> Pivot Tabel Soal No 1</t>
  </si>
  <si>
    <t>Usia_2025</t>
  </si>
  <si>
    <t>Pensiun_2025</t>
  </si>
  <si>
    <t xml:space="preserve"> Pivot Tabel Soal No 2</t>
  </si>
  <si>
    <t>Ya</t>
  </si>
  <si>
    <t>2. Jika usia pensiun adalah 50 tahun, berapa karyawan yang memasuki usia pensiun pada akhir tahun 2025? = 7</t>
  </si>
  <si>
    <t>Kategori_KPI</t>
  </si>
  <si>
    <t>Poor</t>
  </si>
  <si>
    <t xml:space="preserve"> Pivot Tabel Soal No 3</t>
  </si>
  <si>
    <t xml:space="preserve"> Pivot Tabel Soal No 4</t>
  </si>
  <si>
    <t>Sum of Gaji</t>
  </si>
  <si>
    <t>Pengali_Bonus</t>
  </si>
  <si>
    <t>Bonus</t>
  </si>
  <si>
    <t>Sum of Bonus</t>
  </si>
  <si>
    <t xml:space="preserve"> Pivot Tabel Soal No 5</t>
  </si>
  <si>
    <t xml:space="preserve"> </t>
  </si>
  <si>
    <t>5. Berapa Total Bonus yang diperoleh per masing-masing jabatan, hitung berdasarkan syarat KPI di Master Bonus = JAWABAN ADA DISHEET HELPER PIVOT TABEL</t>
  </si>
  <si>
    <t>4. Berapa kontribusi gaji karyawan berdasarkan jabatan = JAWABAN ADA DISHEET HELPER PIVOT TABEL</t>
  </si>
  <si>
    <t>3. Berapa karyawan yang mendapatkan KPI dengan category Poor ( Poor : Nilai KPI &lt; 70%)  = 32</t>
  </si>
  <si>
    <t>Gender_Nama</t>
  </si>
  <si>
    <t xml:space="preserve"> Pivot Tabel Soal No 6</t>
  </si>
  <si>
    <t>Tahun_Masuk</t>
  </si>
  <si>
    <t xml:space="preserve"> Pivot Tabel Soal No 7</t>
  </si>
  <si>
    <t>Jumlah Karyawan Masuk</t>
  </si>
  <si>
    <t xml:space="preserve">Total Karyawan 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</si>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</sst>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-* #,##0.00_-;\-* #,##0.00_-;_-* &quot;-&quot;??_-;_-@_-"/>
    <numFmt numFmtId="164" formatCode="&quot; &quot;#,##0_);[Red]\(&quot; &quot;#,##0\)"/>
    <numFmt numFmtId="165" formatCode="_-* #,##0_-;\-* #,##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43" fontId="1" fillId="0" borderId="0" applyFont="0" applyFill="0" applyBorder="0" applyAlignment="0" applyProtection="0"/>
  </cellStyleXfs>
  <cellXfs count="26">
    <xf numFmtId="0" fontId="0" fillId="0" borderId="0" xfId="0"/>
    <xf numFmtId="0" fontId="2" fillId="0" borderId="0" xfId="1"/>
    <xf numFmtId="0" fontId="4" fillId="0" borderId="0" xfId="1" applyFont="1" applyAlignment="1">
      <alignment vertical="center"/>
    </xf>
    <xf numFmtId="0" fontId="2" fillId="2" borderId="0" xfId="1" applyFill="1"/>
    <xf numFmtId="0" fontId="2" fillId="3" borderId="0" xfId="1" applyFill="1"/>
    <xf numFmtId="0" fontId="1" fillId="0" borderId="0" xfId="2"/>
    <xf numFmtId="9" fontId="0" fillId="0" borderId="0" xfId="0" applyNumberFormat="1"/>
    <xf numFmtId="164" fontId="0" fillId="0" borderId="0" xfId="0" applyNumberFormat="1"/>
    <xf numFmtId="0" fontId="2" fillId="4" borderId="0" xfId="1" applyFill="1"/>
    <xf numFmtId="0" fontId="0" fillId="2" borderId="0" xfId="0" applyFill="1"/>
    <xf numFmtId="0" fontId="3" fillId="5" borderId="0" xfId="1" applyFont="1" applyFill="1" applyAlignment="1">
      <alignment horizontal="centerContinuous" vertical="center"/>
    </xf>
    <xf numFmtId="0" fontId="6" fillId="5" borderId="0" xfId="1" applyFont="1" applyFill="1" applyAlignment="1">
      <alignment horizontal="left" vertical="center"/>
    </xf>
    <xf numFmtId="0" fontId="0" fillId="0" borderId="0" xfId="0" applyAlignment="1">
      <alignment horizontal="center"/>
    </xf>
    <xf numFmtId="0" fontId="5" fillId="6" borderId="0" xfId="0" applyFont="1" applyFill="1"/>
    <xf numFmtId="0" fontId="5" fillId="6" borderId="0" xfId="0" applyFon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7" fillId="0" borderId="0" xfId="0" applyFont="1"/>
    <xf numFmtId="0" fontId="1" fillId="0" borderId="1" xfId="2" applyBorder="1"/>
    <xf numFmtId="165" fontId="1" fillId="0" borderId="1" xfId="3" applyNumberFormat="1" applyBorder="1"/>
    <xf numFmtId="10" fontId="0" fillId="0" borderId="0" xfId="0" applyNumberFormat="1"/>
    <xf numFmtId="0" fontId="5" fillId="6" borderId="1" xfId="0" applyFont="1" applyFill="1" applyBorder="1" applyAlignment="1">
      <alignment horizontal="center"/>
    </xf>
    <xf numFmtId="14" fontId="1" fillId="0" borderId="1" xfId="2" applyNumberFormat="1" applyBorder="1" applyAlignment="1">
      <alignment horizontal="center"/>
    </xf>
    <xf numFmtId="14" fontId="1" fillId="0" borderId="1" xfId="2" applyNumberFormat="1" applyBorder="1"/>
    <xf numFmtId="9" fontId="0" fillId="0" borderId="1" xfId="0" applyNumberFormat="1" applyBorder="1"/>
    <xf numFmtId="0" fontId="7" fillId="0" borderId="1" xfId="2" applyFont="1" applyBorder="1" applyAlignment="1">
      <alignment horizontal="center"/>
    </xf>
  </cellXfs>
  <cellStyles count="4">
    <cellStyle name="Comma" xfId="3" builtinId="3"/>
    <cellStyle name="Normal" xfId="0" builtinId="0"/>
    <cellStyle name="Normal 2" xfId="1" xr:uid="{EE6086A6-0608-4148-B401-5AA3D7342327}"/>
    <cellStyle name="Normal 4" xfId="2" xr:uid="{9451B6F3-7A50-49CD-A742-ABB1CCB40E82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1FB7A0B9-C74B-43BE-8FAE-E646ACEBB7C5}"/>
  </tableStyles>
  <colors>
    <mruColors>
      <color rgb="FF009999"/>
      <color rgb="FF00CC99"/>
      <color rgb="FFA4F0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6.xml"/><Relationship Id="rId10" Type="http://schemas.openxmlformats.org/officeDocument/2006/relationships/pivotCacheDefinition" Target="pivotCache/pivotCacheDefinition1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pivotCacheDefinition" Target="pivotCache/pivotCacheDefinition5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myskill.xlsm]Helper Pivot Tabel!PivotTable8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D"/>
              <a:t>Historical Employees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'Helper Pivot Tabel'!$B$45</c:f>
              <c:strCache>
                <c:ptCount val="1"/>
                <c:pt idx="0">
                  <c:v>Jumlah Karyawan Masuk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'Helper Pivot Tabel'!$A$46:$A$69</c:f>
              <c:strCache>
                <c:ptCount val="23"/>
                <c:pt idx="0">
                  <c:v>2000</c:v>
                </c:pt>
                <c:pt idx="1">
                  <c:v>2002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  <c:pt idx="20">
                  <c:v>2022</c:v>
                </c:pt>
                <c:pt idx="21">
                  <c:v>2023</c:v>
                </c:pt>
                <c:pt idx="22">
                  <c:v>2024</c:v>
                </c:pt>
              </c:strCache>
            </c:strRef>
          </c:cat>
          <c:val>
            <c:numRef>
              <c:f>'Helper Pivot Tabel'!$B$46:$B$69</c:f>
              <c:numCache>
                <c:formatCode>General</c:formatCode>
                <c:ptCount val="23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5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13</c:v>
                </c:pt>
                <c:pt idx="15">
                  <c:v>13</c:v>
                </c:pt>
                <c:pt idx="16">
                  <c:v>17</c:v>
                </c:pt>
                <c:pt idx="17">
                  <c:v>12</c:v>
                </c:pt>
                <c:pt idx="18">
                  <c:v>6</c:v>
                </c:pt>
                <c:pt idx="19">
                  <c:v>5</c:v>
                </c:pt>
                <c:pt idx="20">
                  <c:v>14</c:v>
                </c:pt>
                <c:pt idx="21">
                  <c:v>4</c:v>
                </c:pt>
                <c:pt idx="2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FC-4013-8FE0-446FD2A47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-27"/>
        <c:axId val="194816863"/>
        <c:axId val="194817343"/>
      </c:barChart>
      <c:lineChart>
        <c:grouping val="standard"/>
        <c:varyColors val="0"/>
        <c:ser>
          <c:idx val="1"/>
          <c:order val="1"/>
          <c:tx>
            <c:strRef>
              <c:f>'Helper Pivot Tabel'!$C$45</c:f>
              <c:strCache>
                <c:ptCount val="1"/>
                <c:pt idx="0">
                  <c:v>Total Karyawan 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'Helper Pivot Tabel'!$A$46:$A$69</c:f>
              <c:strCache>
                <c:ptCount val="23"/>
                <c:pt idx="0">
                  <c:v>2000</c:v>
                </c:pt>
                <c:pt idx="1">
                  <c:v>2002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  <c:pt idx="20">
                  <c:v>2022</c:v>
                </c:pt>
                <c:pt idx="21">
                  <c:v>2023</c:v>
                </c:pt>
                <c:pt idx="22">
                  <c:v>2024</c:v>
                </c:pt>
              </c:strCache>
            </c:strRef>
          </c:cat>
          <c:val>
            <c:numRef>
              <c:f>'Helper Pivot Tabel'!$C$46:$C$69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7</c:v>
                </c:pt>
                <c:pt idx="3">
                  <c:v>8</c:v>
                </c:pt>
                <c:pt idx="4">
                  <c:v>13</c:v>
                </c:pt>
                <c:pt idx="5">
                  <c:v>15</c:v>
                </c:pt>
                <c:pt idx="6">
                  <c:v>18</c:v>
                </c:pt>
                <c:pt idx="7">
                  <c:v>19</c:v>
                </c:pt>
                <c:pt idx="8">
                  <c:v>23</c:v>
                </c:pt>
                <c:pt idx="9">
                  <c:v>24</c:v>
                </c:pt>
                <c:pt idx="10">
                  <c:v>27</c:v>
                </c:pt>
                <c:pt idx="11">
                  <c:v>29</c:v>
                </c:pt>
                <c:pt idx="12">
                  <c:v>33</c:v>
                </c:pt>
                <c:pt idx="13">
                  <c:v>35</c:v>
                </c:pt>
                <c:pt idx="14">
                  <c:v>48</c:v>
                </c:pt>
                <c:pt idx="15">
                  <c:v>61</c:v>
                </c:pt>
                <c:pt idx="16">
                  <c:v>78</c:v>
                </c:pt>
                <c:pt idx="17">
                  <c:v>90</c:v>
                </c:pt>
                <c:pt idx="18">
                  <c:v>96</c:v>
                </c:pt>
                <c:pt idx="19">
                  <c:v>101</c:v>
                </c:pt>
                <c:pt idx="20">
                  <c:v>115</c:v>
                </c:pt>
                <c:pt idx="21">
                  <c:v>119</c:v>
                </c:pt>
                <c:pt idx="2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FC-4013-8FE0-446FD2A47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607327"/>
        <c:axId val="86606847"/>
      </c:lineChart>
      <c:catAx>
        <c:axId val="1948168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17343"/>
        <c:crosses val="autoZero"/>
        <c:auto val="1"/>
        <c:lblAlgn val="ctr"/>
        <c:lblOffset val="100"/>
        <c:noMultiLvlLbl val="0"/>
      </c:catAx>
      <c:valAx>
        <c:axId val="194817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16863"/>
        <c:crosses val="autoZero"/>
        <c:crossBetween val="between"/>
      </c:valAx>
      <c:valAx>
        <c:axId val="86606847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07327"/>
        <c:crosses val="max"/>
        <c:crossBetween val="between"/>
      </c:valAx>
      <c:catAx>
        <c:axId val="866073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6606847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myskill.xlsm]Helper Pivot Tabel!PivotTable11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By</a:t>
            </a:r>
            <a:r>
              <a:rPr lang="en-US" baseline="0"/>
              <a:t> Base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'Helper Pivot Tabel'!$G$1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'Helper Pivot Tabel'!$F$2:$F$8</c:f>
              <c:strCache>
                <c:ptCount val="6"/>
                <c:pt idx="0">
                  <c:v>JAKARTA</c:v>
                </c:pt>
                <c:pt idx="1">
                  <c:v>MEDAN</c:v>
                </c:pt>
                <c:pt idx="2">
                  <c:v>BANDUNG</c:v>
                </c:pt>
                <c:pt idx="3">
                  <c:v>SURABAYA</c:v>
                </c:pt>
                <c:pt idx="4">
                  <c:v>MALANG</c:v>
                </c:pt>
                <c:pt idx="5">
                  <c:v>DENPASAR</c:v>
                </c:pt>
              </c:strCache>
            </c:strRef>
          </c:cat>
          <c:val>
            <c:numRef>
              <c:f>'Helper Pivot Tabel'!$G$2:$G$8</c:f>
              <c:numCache>
                <c:formatCode>General</c:formatCode>
                <c:ptCount val="6"/>
                <c:pt idx="0">
                  <c:v>109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A9-4ED3-B8CA-68A61E51A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275103"/>
        <c:axId val="190273183"/>
      </c:barChart>
      <c:catAx>
        <c:axId val="190275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73183"/>
        <c:crosses val="autoZero"/>
        <c:auto val="1"/>
        <c:lblAlgn val="ctr"/>
        <c:lblOffset val="100"/>
        <c:noMultiLvlLbl val="0"/>
      </c:catAx>
      <c:valAx>
        <c:axId val="190273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75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myskill.xlsm]Helper Pivot Tabel!PivotTable12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 i="1"/>
              <a:t>Jumlah Karyawan Berdasarkan Jabatan dan Gender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'Helper Pivot Tabel'!$G$16:$G$17</c:f>
              <c:strCache>
                <c:ptCount val="1"/>
                <c:pt idx="0">
                  <c:v>Laki-Laki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'Helper Pivot Tabel'!$F$18:$F$25</c:f>
              <c:strCache>
                <c:ptCount val="7"/>
                <c:pt idx="0">
                  <c:v>CEO</c:v>
                </c:pt>
                <c:pt idx="1">
                  <c:v>General Manager</c:v>
                </c:pt>
                <c:pt idx="2">
                  <c:v>Junior Manager</c:v>
                </c:pt>
                <c:pt idx="3">
                  <c:v>Senior Manager</c:v>
                </c:pt>
                <c:pt idx="4">
                  <c:v>Senior Staff</c:v>
                </c:pt>
                <c:pt idx="5">
                  <c:v>Staff</c:v>
                </c:pt>
                <c:pt idx="6">
                  <c:v>Supervisor</c:v>
                </c:pt>
              </c:strCache>
            </c:strRef>
          </c:cat>
          <c:val>
            <c:numRef>
              <c:f>'Helper Pivot Tabel'!$G$18:$G$25</c:f>
              <c:numCache>
                <c:formatCode>General</c:formatCode>
                <c:ptCount val="7"/>
                <c:pt idx="0">
                  <c:v>1</c:v>
                </c:pt>
                <c:pt idx="1">
                  <c:v>9</c:v>
                </c:pt>
                <c:pt idx="2">
                  <c:v>4</c:v>
                </c:pt>
                <c:pt idx="3">
                  <c:v>6</c:v>
                </c:pt>
                <c:pt idx="4">
                  <c:v>15</c:v>
                </c:pt>
                <c:pt idx="5">
                  <c:v>21</c:v>
                </c:pt>
                <c:pt idx="6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FF-4A3E-A4BA-8B7D50103356}"/>
            </c:ext>
          </c:extLst>
        </c:ser>
        <c:ser>
          <c:idx val="1"/>
          <c:order val="1"/>
          <c:tx>
            <c:strRef>
              <c:f>'Helper Pivot Tabel'!$H$16:$H$17</c:f>
              <c:strCache>
                <c:ptCount val="1"/>
                <c:pt idx="0">
                  <c:v>Perempuan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'Helper Pivot Tabel'!$F$18:$F$25</c:f>
              <c:strCache>
                <c:ptCount val="7"/>
                <c:pt idx="0">
                  <c:v>CEO</c:v>
                </c:pt>
                <c:pt idx="1">
                  <c:v>General Manager</c:v>
                </c:pt>
                <c:pt idx="2">
                  <c:v>Junior Manager</c:v>
                </c:pt>
                <c:pt idx="3">
                  <c:v>Senior Manager</c:v>
                </c:pt>
                <c:pt idx="4">
                  <c:v>Senior Staff</c:v>
                </c:pt>
                <c:pt idx="5">
                  <c:v>Staff</c:v>
                </c:pt>
                <c:pt idx="6">
                  <c:v>Supervisor</c:v>
                </c:pt>
              </c:strCache>
            </c:strRef>
          </c:cat>
          <c:val>
            <c:numRef>
              <c:f>'Helper Pivot Tabel'!$H$18:$H$25</c:f>
              <c:numCache>
                <c:formatCode>General</c:formatCode>
                <c:ptCount val="7"/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20</c:v>
                </c:pt>
                <c:pt idx="5">
                  <c:v>11</c:v>
                </c:pt>
                <c:pt idx="6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FF-4A3E-A4BA-8B7D50103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02615615"/>
        <c:axId val="802603135"/>
      </c:barChart>
      <c:catAx>
        <c:axId val="802615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603135"/>
        <c:crosses val="autoZero"/>
        <c:auto val="1"/>
        <c:lblAlgn val="ctr"/>
        <c:lblOffset val="100"/>
        <c:noMultiLvlLbl val="0"/>
      </c:catAx>
      <c:valAx>
        <c:axId val="80260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615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myskill.xlsm]Helper Pivot Tabel!PivotTable7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 i="1"/>
              <a:t>Total By Gender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'Helper Pivot Tabel'!$B$36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6D-4C9E-8630-4F5AE6DA14B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26D-4C9E-8630-4F5AE6DA14B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'Helper Pivot Tabel'!$A$37:$A$39</c:f>
              <c:strCache>
                <c:ptCount val="2"/>
                <c:pt idx="0">
                  <c:v>Laki-Laki</c:v>
                </c:pt>
                <c:pt idx="1">
                  <c:v>Perempuan</c:v>
                </c:pt>
              </c:strCache>
            </c:strRef>
          </c:cat>
          <c:val>
            <c:numRef>
              <c:f>'Helper Pivot Tabel'!$B$37:$B$39</c:f>
              <c:numCache>
                <c:formatCode>0%</c:formatCode>
                <c:ptCount val="2"/>
                <c:pt idx="0">
                  <c:v>0.54471544715447151</c:v>
                </c:pt>
                <c:pt idx="1">
                  <c:v>0.45528455284552843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6D-4C9E-8630-4F5AE6DA14B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myskill.xlsm]Helper Pivot Tabel!PivotTable7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 i="1"/>
              <a:t>Total By Gender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'Helper Pivot Tabel'!$B$36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7F-4987-9494-9D62B07A150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C7F-4987-9494-9D62B07A15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'Helper Pivot Tabel'!$A$37:$A$39</c:f>
              <c:strCache>
                <c:ptCount val="2"/>
                <c:pt idx="0">
                  <c:v>Laki-Laki</c:v>
                </c:pt>
                <c:pt idx="1">
                  <c:v>Perempuan</c:v>
                </c:pt>
              </c:strCache>
            </c:strRef>
          </c:cat>
          <c:val>
            <c:numRef>
              <c:f>'Helper Pivot Tabel'!$B$37:$B$39</c:f>
              <c:numCache>
                <c:formatCode>0%</c:formatCode>
                <c:ptCount val="2"/>
                <c:pt idx="0">
                  <c:v>0.54471544715447151</c:v>
                </c:pt>
                <c:pt idx="1">
                  <c:v>0.45528455284552843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7F-4987-9494-9D62B07A15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myskill.xlsm]Helper Pivot Tabel!PivotTable8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D" i="1"/>
              <a:t>Historical Employees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'Helper Pivot Tabel'!$B$45</c:f>
              <c:strCache>
                <c:ptCount val="1"/>
                <c:pt idx="0">
                  <c:v>Jumlah Karyawan Masuk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'Helper Pivot Tabel'!$A$46:$A$69</c:f>
              <c:strCache>
                <c:ptCount val="23"/>
                <c:pt idx="0">
                  <c:v>2000</c:v>
                </c:pt>
                <c:pt idx="1">
                  <c:v>2002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  <c:pt idx="20">
                  <c:v>2022</c:v>
                </c:pt>
                <c:pt idx="21">
                  <c:v>2023</c:v>
                </c:pt>
                <c:pt idx="22">
                  <c:v>2024</c:v>
                </c:pt>
              </c:strCache>
            </c:strRef>
          </c:cat>
          <c:val>
            <c:numRef>
              <c:f>'Helper Pivot Tabel'!$B$46:$B$69</c:f>
              <c:numCache>
                <c:formatCode>General</c:formatCode>
                <c:ptCount val="23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5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13</c:v>
                </c:pt>
                <c:pt idx="15">
                  <c:v>13</c:v>
                </c:pt>
                <c:pt idx="16">
                  <c:v>17</c:v>
                </c:pt>
                <c:pt idx="17">
                  <c:v>12</c:v>
                </c:pt>
                <c:pt idx="18">
                  <c:v>6</c:v>
                </c:pt>
                <c:pt idx="19">
                  <c:v>5</c:v>
                </c:pt>
                <c:pt idx="20">
                  <c:v>14</c:v>
                </c:pt>
                <c:pt idx="21">
                  <c:v>4</c:v>
                </c:pt>
                <c:pt idx="2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5-4E6E-988E-0A70B0E60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-27"/>
        <c:axId val="194816863"/>
        <c:axId val="194817343"/>
      </c:barChart>
      <c:lineChart>
        <c:grouping val="standard"/>
        <c:varyColors val="0"/>
        <c:ser>
          <c:idx val="1"/>
          <c:order val="1"/>
          <c:tx>
            <c:strRef>
              <c:f>'Helper Pivot Tabel'!$C$45</c:f>
              <c:strCache>
                <c:ptCount val="1"/>
                <c:pt idx="0">
                  <c:v>Total Karyawan 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'Helper Pivot Tabel'!$A$46:$A$69</c:f>
              <c:strCache>
                <c:ptCount val="23"/>
                <c:pt idx="0">
                  <c:v>2000</c:v>
                </c:pt>
                <c:pt idx="1">
                  <c:v>2002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  <c:pt idx="20">
                  <c:v>2022</c:v>
                </c:pt>
                <c:pt idx="21">
                  <c:v>2023</c:v>
                </c:pt>
                <c:pt idx="22">
                  <c:v>2024</c:v>
                </c:pt>
              </c:strCache>
            </c:strRef>
          </c:cat>
          <c:val>
            <c:numRef>
              <c:f>'Helper Pivot Tabel'!$C$46:$C$69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7</c:v>
                </c:pt>
                <c:pt idx="3">
                  <c:v>8</c:v>
                </c:pt>
                <c:pt idx="4">
                  <c:v>13</c:v>
                </c:pt>
                <c:pt idx="5">
                  <c:v>15</c:v>
                </c:pt>
                <c:pt idx="6">
                  <c:v>18</c:v>
                </c:pt>
                <c:pt idx="7">
                  <c:v>19</c:v>
                </c:pt>
                <c:pt idx="8">
                  <c:v>23</c:v>
                </c:pt>
                <c:pt idx="9">
                  <c:v>24</c:v>
                </c:pt>
                <c:pt idx="10">
                  <c:v>27</c:v>
                </c:pt>
                <c:pt idx="11">
                  <c:v>29</c:v>
                </c:pt>
                <c:pt idx="12">
                  <c:v>33</c:v>
                </c:pt>
                <c:pt idx="13">
                  <c:v>35</c:v>
                </c:pt>
                <c:pt idx="14">
                  <c:v>48</c:v>
                </c:pt>
                <c:pt idx="15">
                  <c:v>61</c:v>
                </c:pt>
                <c:pt idx="16">
                  <c:v>78</c:v>
                </c:pt>
                <c:pt idx="17">
                  <c:v>90</c:v>
                </c:pt>
                <c:pt idx="18">
                  <c:v>96</c:v>
                </c:pt>
                <c:pt idx="19">
                  <c:v>101</c:v>
                </c:pt>
                <c:pt idx="20">
                  <c:v>115</c:v>
                </c:pt>
                <c:pt idx="21">
                  <c:v>119</c:v>
                </c:pt>
                <c:pt idx="2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E5-4E6E-988E-0A70B0E60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607327"/>
        <c:axId val="86606847"/>
      </c:lineChart>
      <c:catAx>
        <c:axId val="1948168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17343"/>
        <c:crosses val="autoZero"/>
        <c:auto val="1"/>
        <c:lblAlgn val="ctr"/>
        <c:lblOffset val="100"/>
        <c:noMultiLvlLbl val="0"/>
      </c:catAx>
      <c:valAx>
        <c:axId val="194817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16863"/>
        <c:crosses val="autoZero"/>
        <c:crossBetween val="between"/>
      </c:valAx>
      <c:valAx>
        <c:axId val="86606847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07327"/>
        <c:crosses val="max"/>
        <c:crossBetween val="between"/>
      </c:valAx>
      <c:catAx>
        <c:axId val="866073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6606847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myskill.xlsm]Helper Pivot Tabel!PivotTable11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1"/>
              <a:t>Total By</a:t>
            </a:r>
            <a:r>
              <a:rPr lang="en-US" b="1" i="1" baseline="0"/>
              <a:t> Base</a:t>
            </a:r>
            <a:endParaRPr lang="en-US" b="1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'Helper Pivot Tabel'!$G$1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'Helper Pivot Tabel'!$F$2:$F$8</c:f>
              <c:strCache>
                <c:ptCount val="6"/>
                <c:pt idx="0">
                  <c:v>JAKARTA</c:v>
                </c:pt>
                <c:pt idx="1">
                  <c:v>MEDAN</c:v>
                </c:pt>
                <c:pt idx="2">
                  <c:v>BANDUNG</c:v>
                </c:pt>
                <c:pt idx="3">
                  <c:v>SURABAYA</c:v>
                </c:pt>
                <c:pt idx="4">
                  <c:v>MALANG</c:v>
                </c:pt>
                <c:pt idx="5">
                  <c:v>DENPASAR</c:v>
                </c:pt>
              </c:strCache>
            </c:strRef>
          </c:cat>
          <c:val>
            <c:numRef>
              <c:f>'Helper Pivot Tabel'!$G$2:$G$8</c:f>
              <c:numCache>
                <c:formatCode>General</c:formatCode>
                <c:ptCount val="6"/>
                <c:pt idx="0">
                  <c:v>109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19-4583-A520-8AD608817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275103"/>
        <c:axId val="190273183"/>
      </c:barChart>
      <c:catAx>
        <c:axId val="190275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73183"/>
        <c:crosses val="autoZero"/>
        <c:auto val="1"/>
        <c:lblAlgn val="ctr"/>
        <c:lblOffset val="100"/>
        <c:noMultiLvlLbl val="0"/>
      </c:catAx>
      <c:valAx>
        <c:axId val="190273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75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myskill.xlsm]Helper Pivot Tabel!PivotTable12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 i="1"/>
              <a:t>Jumlah Karyawan Berdasarkan Jabatan dan Gender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'Helper Pivot Tabel'!$G$16:$G$17</c:f>
              <c:strCache>
                <c:ptCount val="1"/>
                <c:pt idx="0">
                  <c:v>Laki-Laki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'Helper Pivot Tabel'!$F$18:$F$25</c:f>
              <c:strCache>
                <c:ptCount val="7"/>
                <c:pt idx="0">
                  <c:v>CEO</c:v>
                </c:pt>
                <c:pt idx="1">
                  <c:v>General Manager</c:v>
                </c:pt>
                <c:pt idx="2">
                  <c:v>Junior Manager</c:v>
                </c:pt>
                <c:pt idx="3">
                  <c:v>Senior Manager</c:v>
                </c:pt>
                <c:pt idx="4">
                  <c:v>Senior Staff</c:v>
                </c:pt>
                <c:pt idx="5">
                  <c:v>Staff</c:v>
                </c:pt>
                <c:pt idx="6">
                  <c:v>Supervisor</c:v>
                </c:pt>
              </c:strCache>
            </c:strRef>
          </c:cat>
          <c:val>
            <c:numRef>
              <c:f>'Helper Pivot Tabel'!$G$18:$G$25</c:f>
              <c:numCache>
                <c:formatCode>General</c:formatCode>
                <c:ptCount val="7"/>
                <c:pt idx="0">
                  <c:v>1</c:v>
                </c:pt>
                <c:pt idx="1">
                  <c:v>9</c:v>
                </c:pt>
                <c:pt idx="2">
                  <c:v>4</c:v>
                </c:pt>
                <c:pt idx="3">
                  <c:v>6</c:v>
                </c:pt>
                <c:pt idx="4">
                  <c:v>15</c:v>
                </c:pt>
                <c:pt idx="5">
                  <c:v>21</c:v>
                </c:pt>
                <c:pt idx="6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B0-40C3-83E1-EBB2034B0C59}"/>
            </c:ext>
          </c:extLst>
        </c:ser>
        <c:ser>
          <c:idx val="1"/>
          <c:order val="1"/>
          <c:tx>
            <c:strRef>
              <c:f>'Helper Pivot Tabel'!$H$16:$H$17</c:f>
              <c:strCache>
                <c:ptCount val="1"/>
                <c:pt idx="0">
                  <c:v>Perempuan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'Helper Pivot Tabel'!$F$18:$F$25</c:f>
              <c:strCache>
                <c:ptCount val="7"/>
                <c:pt idx="0">
                  <c:v>CEO</c:v>
                </c:pt>
                <c:pt idx="1">
                  <c:v>General Manager</c:v>
                </c:pt>
                <c:pt idx="2">
                  <c:v>Junior Manager</c:v>
                </c:pt>
                <c:pt idx="3">
                  <c:v>Senior Manager</c:v>
                </c:pt>
                <c:pt idx="4">
                  <c:v>Senior Staff</c:v>
                </c:pt>
                <c:pt idx="5">
                  <c:v>Staff</c:v>
                </c:pt>
                <c:pt idx="6">
                  <c:v>Supervisor</c:v>
                </c:pt>
              </c:strCache>
            </c:strRef>
          </c:cat>
          <c:val>
            <c:numRef>
              <c:f>'Helper Pivot Tabel'!$H$18:$H$25</c:f>
              <c:numCache>
                <c:formatCode>General</c:formatCode>
                <c:ptCount val="7"/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20</c:v>
                </c:pt>
                <c:pt idx="5">
                  <c:v>11</c:v>
                </c:pt>
                <c:pt idx="6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B0-40C3-83E1-EBB2034B0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02615615"/>
        <c:axId val="802603135"/>
      </c:barChart>
      <c:catAx>
        <c:axId val="802615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603135"/>
        <c:crosses val="autoZero"/>
        <c:auto val="1"/>
        <c:lblAlgn val="ctr"/>
        <c:lblOffset val="100"/>
        <c:noMultiLvlLbl val="0"/>
      </c:catAx>
      <c:valAx>
        <c:axId val="80260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615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2.png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145144</xdr:colOff>
      <xdr:row>0</xdr:row>
      <xdr:rowOff>0</xdr:rowOff>
    </xdr:from>
    <xdr:to>
      <xdr:col>23</xdr:col>
      <xdr:colOff>498973</xdr:colOff>
      <xdr:row>48</xdr:row>
      <xdr:rowOff>126925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B5DC57-0036-4705-8D9F-0E804BC5E4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84573" y="0"/>
          <a:ext cx="13117329" cy="8835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603250</xdr:colOff>
      <xdr:row>45</xdr:row>
      <xdr:rowOff>133350</xdr:rowOff>
    </xdr:from>
    <xdr:to>
      <xdr:col>10</xdr:col>
      <xdr:colOff>6350</xdr:colOff>
      <xdr:row>59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F9ACE67-DFEE-49AD-FA21-60A358C895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584200</xdr:colOff>
      <xdr:row>0</xdr:row>
      <xdr:rowOff>0</xdr:rowOff>
    </xdr:from>
    <xdr:to>
      <xdr:col>13</xdr:col>
      <xdr:colOff>76200</xdr:colOff>
      <xdr:row>12</xdr:row>
      <xdr:rowOff>146050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78EE12B-C575-8FA3-016C-89E0409927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495300</xdr:colOff>
      <xdr:row>15</xdr:row>
      <xdr:rowOff>6350</xdr:rowOff>
    </xdr:from>
    <xdr:to>
      <xdr:col>20</xdr:col>
      <xdr:colOff>190500</xdr:colOff>
      <xdr:row>31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4BFBBCD-C2DD-3176-57B9-BE2BE70217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9621</xdr:colOff>
      <xdr:row>32</xdr:row>
      <xdr:rowOff>19242</xdr:rowOff>
    </xdr:from>
    <xdr:to>
      <xdr:col>8</xdr:col>
      <xdr:colOff>70427</xdr:colOff>
      <xdr:row>44</xdr:row>
      <xdr:rowOff>96020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4470854-528D-4C89-80BB-A622A265B6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369487</xdr:colOff>
      <xdr:row>0</xdr:row>
      <xdr:rowOff>27150</xdr:rowOff>
    </xdr:from>
    <xdr:to>
      <xdr:col>0</xdr:col>
      <xdr:colOff>1718072</xdr:colOff>
      <xdr:row>0</xdr:row>
      <xdr:rowOff>1369845</xdr:rowOff>
    </xdr:to>
    <xdr:pic>
      <xdr:nvPicPr>
        <xdr:cNvPr id="3" name="Picture 2" descr="MySkill - East Ventures">
          <a:extLst>
            <a:ext uri="{FF2B5EF4-FFF2-40B4-BE49-F238E27FC236}">
              <a16:creationId xmlns:a16="http://schemas.microsoft.com/office/drawing/2014/main" id="{98ACB4EF-5FC1-80FE-4319-3E66BC51BAB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344" t="17519" r="18010" b="19077"/>
        <a:stretch/>
      </xdr:blipFill>
      <xdr:spPr bwMode="auto">
        <a:xfrm>
          <a:off x="369487" y="27150"/>
          <a:ext cx="1348585" cy="13426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15875</xdr:colOff>
      <xdr:row>12</xdr:row>
      <xdr:rowOff>15875</xdr:rowOff>
    </xdr:from>
    <xdr:to>
      <xdr:col>4</xdr:col>
      <xdr:colOff>23813</xdr:colOff>
      <xdr:row>12</xdr:row>
      <xdr:rowOff>2659063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D789CED-4124-45B7-8DAE-A79352CF6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12</xdr:row>
      <xdr:rowOff>0</xdr:rowOff>
    </xdr:from>
    <xdr:to>
      <xdr:col>5</xdr:col>
      <xdr:colOff>5540375</xdr:colOff>
      <xdr:row>13</xdr:row>
      <xdr:rowOff>15876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E64CD3C-A76C-4BB7-9618-894728F83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14</xdr:row>
      <xdr:rowOff>7938</xdr:rowOff>
    </xdr:from>
    <xdr:to>
      <xdr:col>4</xdr:col>
      <xdr:colOff>15875</xdr:colOff>
      <xdr:row>14</xdr:row>
      <xdr:rowOff>2659062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A498F76-E56B-46C0-B257-520EB93CB6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</xdr:colOff>
      <xdr:row>14</xdr:row>
      <xdr:rowOff>0</xdr:rowOff>
    </xdr:from>
    <xdr:to>
      <xdr:col>6</xdr:col>
      <xdr:colOff>7938</xdr:colOff>
      <xdr:row>14</xdr:row>
      <xdr:rowOff>2651125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E5BBFCC-5FEB-4BED-AECB-AAC84AC5F4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och%20Ardi%20Firmansyah\Downloads\10-Advanced-Excel-Charts.xlsx" TargetMode="External"/><Relationship Id="rId1" Type="http://schemas.openxmlformats.org/officeDocument/2006/relationships/externalLinkPath" Target="file:///C:\Users\Moch%20Ardi%20Firmansyah\Downloads\10-Advanced-Excel-Char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elcome"/>
      <sheetName val="10 Charts"/>
      <sheetName val="1. Percent Change"/>
      <sheetName val="2. Conditional Donut"/>
      <sheetName val="3. Histogram with Details"/>
      <sheetName val="4. Dynamic Histogram"/>
      <sheetName val="5. Annual &amp; Monthly"/>
      <sheetName val="6. Waterfall Dashboard"/>
      <sheetName val="7. Variance on Clustered"/>
      <sheetName val="8. Actual vs Target"/>
      <sheetName val="8. Actual vs Goal Pct"/>
      <sheetName val="9. Dynamic Labels"/>
      <sheetName val="10. Comparative Distribution"/>
      <sheetName val="Source Data&gt;&gt;"/>
      <sheetName val="1. Pivot"/>
      <sheetName val="1. Data"/>
      <sheetName val="3. Pivots"/>
      <sheetName val="3. Data"/>
      <sheetName val="3. Groups"/>
      <sheetName val="4. Data"/>
      <sheetName val="5. Monthly Avg"/>
      <sheetName val="5. Season Trend"/>
      <sheetName val="5. Data"/>
      <sheetName val="5. Lists"/>
      <sheetName val="6. Waterfall Chart"/>
      <sheetName val="6. Pivot"/>
      <sheetName val="6. Data"/>
      <sheetName val="9. Slicer Pivot"/>
      <sheetName val="Source"/>
      <sheetName val="2. Conditional Donut (2)"/>
    </sheetNames>
    <sheetDataSet>
      <sheetData sheetId="0" refreshError="1"/>
      <sheetData sheetId="1" refreshError="1"/>
      <sheetData sheetId="2" refreshError="1"/>
      <sheetData sheetId="3">
        <row r="6">
          <cell r="C6" t="str">
            <v>Data Series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>
        <row r="2">
          <cell r="A2">
            <v>1970</v>
          </cell>
        </row>
        <row r="3">
          <cell r="A3">
            <v>1971</v>
          </cell>
        </row>
        <row r="4">
          <cell r="A4">
            <v>1972</v>
          </cell>
        </row>
        <row r="5">
          <cell r="A5">
            <v>1973</v>
          </cell>
        </row>
        <row r="6">
          <cell r="A6">
            <v>1974</v>
          </cell>
        </row>
        <row r="7">
          <cell r="A7">
            <v>1975</v>
          </cell>
        </row>
        <row r="8">
          <cell r="A8">
            <v>1976</v>
          </cell>
        </row>
        <row r="9">
          <cell r="A9">
            <v>1977</v>
          </cell>
        </row>
        <row r="10">
          <cell r="A10">
            <v>1978</v>
          </cell>
        </row>
        <row r="11">
          <cell r="A11">
            <v>1979</v>
          </cell>
        </row>
        <row r="12">
          <cell r="A12">
            <v>1980</v>
          </cell>
        </row>
        <row r="13">
          <cell r="A13">
            <v>1981</v>
          </cell>
        </row>
        <row r="14">
          <cell r="A14">
            <v>1982</v>
          </cell>
        </row>
        <row r="15">
          <cell r="A15">
            <v>1983</v>
          </cell>
        </row>
        <row r="16">
          <cell r="A16">
            <v>1984</v>
          </cell>
        </row>
        <row r="17">
          <cell r="A17">
            <v>1985</v>
          </cell>
        </row>
        <row r="18">
          <cell r="A18">
            <v>1986</v>
          </cell>
        </row>
        <row r="19">
          <cell r="A19">
            <v>1987</v>
          </cell>
        </row>
        <row r="20">
          <cell r="A20">
            <v>1988</v>
          </cell>
        </row>
        <row r="21">
          <cell r="A21">
            <v>1989</v>
          </cell>
        </row>
        <row r="22">
          <cell r="A22">
            <v>1990</v>
          </cell>
        </row>
        <row r="23">
          <cell r="A23">
            <v>1991</v>
          </cell>
        </row>
        <row r="24">
          <cell r="A24">
            <v>1992</v>
          </cell>
        </row>
        <row r="25">
          <cell r="A25">
            <v>1993</v>
          </cell>
        </row>
        <row r="26">
          <cell r="A26">
            <v>1994</v>
          </cell>
        </row>
        <row r="27">
          <cell r="A27">
            <v>1995</v>
          </cell>
        </row>
        <row r="28">
          <cell r="A28">
            <v>1996</v>
          </cell>
        </row>
        <row r="29">
          <cell r="A29">
            <v>1997</v>
          </cell>
        </row>
        <row r="30">
          <cell r="A30">
            <v>1998</v>
          </cell>
        </row>
        <row r="31">
          <cell r="A31">
            <v>1999</v>
          </cell>
        </row>
        <row r="32">
          <cell r="A32">
            <v>2000</v>
          </cell>
        </row>
        <row r="33">
          <cell r="A33">
            <v>2001</v>
          </cell>
        </row>
        <row r="34">
          <cell r="A34">
            <v>2002</v>
          </cell>
        </row>
        <row r="35">
          <cell r="A35">
            <v>2003</v>
          </cell>
        </row>
        <row r="36">
          <cell r="A36">
            <v>2004</v>
          </cell>
        </row>
        <row r="37">
          <cell r="A37">
            <v>2005</v>
          </cell>
        </row>
        <row r="38">
          <cell r="A38">
            <v>2006</v>
          </cell>
        </row>
        <row r="39">
          <cell r="A39">
            <v>2007</v>
          </cell>
        </row>
        <row r="40">
          <cell r="A40">
            <v>2008</v>
          </cell>
        </row>
        <row r="41">
          <cell r="A41">
            <v>2009</v>
          </cell>
        </row>
        <row r="42">
          <cell r="A42">
            <v>2010</v>
          </cell>
        </row>
        <row r="43">
          <cell r="A43">
            <v>2011</v>
          </cell>
        </row>
        <row r="44">
          <cell r="A44">
            <v>2012</v>
          </cell>
        </row>
        <row r="45">
          <cell r="A45">
            <v>2013</v>
          </cell>
        </row>
        <row r="46">
          <cell r="A46">
            <v>2014</v>
          </cell>
        </row>
        <row r="47">
          <cell r="A47">
            <v>2015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zalinda" refreshedDate="46150.438792361114" createdVersion="8" refreshedVersion="8" minRefreshableVersion="3" recordCount="123" xr:uid="{BBAEA477-17B8-4EC7-A75A-07FA46D7BF32}">
  <cacheSource type="worksheet">
    <worksheetSource ref="A1:L124" sheet="Data Karyawan"/>
  </cacheSource>
  <cacheFields count="12">
    <cacheField name="No ID" numFmtId="0">
      <sharedItems/>
    </cacheField>
    <cacheField name="Nama Karyawan" numFmtId="0">
      <sharedItems/>
    </cacheField>
    <cacheField name="Base" numFmtId="0">
      <sharedItems count="6">
        <s v="JAKARTA"/>
        <s v="MEDAN"/>
        <s v="BANDUNG"/>
        <s v="MALANG"/>
        <s v="DENPASAR"/>
        <s v="SURABAYA"/>
      </sharedItems>
    </cacheField>
    <cacheField name="Tipe Karyawan" numFmtId="0">
      <sharedItems count="2">
        <s v="Kontrak"/>
        <s v="Karyawan Tetap"/>
      </sharedItems>
    </cacheField>
    <cacheField name="Mulai Bekerja" numFmtId="14">
      <sharedItems containsSemiMixedTypes="0" containsNonDate="0" containsDate="1" containsString="0" minDate="2000-03-13T00:00:00" maxDate="2024-03-02T00:00:00"/>
    </cacheField>
    <cacheField name="Agama" numFmtId="0">
      <sharedItems/>
    </cacheField>
    <cacheField name="Jenis Kelamin" numFmtId="0">
      <sharedItems/>
    </cacheField>
    <cacheField name="Tempat" numFmtId="0">
      <sharedItems/>
    </cacheField>
    <cacheField name="Tanggal Lahir" numFmtId="14">
      <sharedItems containsSemiMixedTypes="0" containsNonDate="0" containsDate="1" containsString="0" minDate="1970-05-29T00:00:00" maxDate="2000-06-17T00:00:00"/>
    </cacheField>
    <cacheField name="KPI Performance" numFmtId="9">
      <sharedItems containsSemiMixedTypes="0" containsString="0" containsNumber="1" minValue="0.6" maxValue="1"/>
    </cacheField>
    <cacheField name="Usia_2025" numFmtId="0">
      <sharedItems containsSemiMixedTypes="0" containsString="0" containsNumber="1" containsInteger="1" minValue="25" maxValue="55"/>
    </cacheField>
    <cacheField name="Pensiun_2025" numFmtId="0">
      <sharedItems count="2">
        <s v="Tidak"/>
        <s v="Y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zalinda" refreshedDate="46150.449870370372" createdVersion="8" refreshedVersion="8" minRefreshableVersion="3" recordCount="123" xr:uid="{7CDEF0FD-7372-441D-BA95-E64B243B45E9}">
  <cacheSource type="worksheet">
    <worksheetSource ref="A1:M124" sheet="Data Karyawan"/>
  </cacheSource>
  <cacheFields count="13">
    <cacheField name="No ID" numFmtId="0">
      <sharedItems/>
    </cacheField>
    <cacheField name="Nama Karyawan" numFmtId="0">
      <sharedItems/>
    </cacheField>
    <cacheField name="Base" numFmtId="0">
      <sharedItems count="6">
        <s v="JAKARTA"/>
        <s v="MEDAN"/>
        <s v="BANDUNG"/>
        <s v="MALANG"/>
        <s v="DENPASAR"/>
        <s v="SURABAYA"/>
      </sharedItems>
    </cacheField>
    <cacheField name="Tipe Karyawan" numFmtId="0">
      <sharedItems/>
    </cacheField>
    <cacheField name="Mulai Bekerja" numFmtId="14">
      <sharedItems containsSemiMixedTypes="0" containsNonDate="0" containsDate="1" containsString="0" minDate="2000-03-13T00:00:00" maxDate="2024-03-02T00:00:00"/>
    </cacheField>
    <cacheField name="Agama" numFmtId="0">
      <sharedItems/>
    </cacheField>
    <cacheField name="Jenis Kelamin" numFmtId="0">
      <sharedItems/>
    </cacheField>
    <cacheField name="Tempat" numFmtId="0">
      <sharedItems/>
    </cacheField>
    <cacheField name="Tanggal Lahir" numFmtId="14">
      <sharedItems containsSemiMixedTypes="0" containsNonDate="0" containsDate="1" containsString="0" minDate="1970-05-29T00:00:00" maxDate="2000-06-17T00:00:00"/>
    </cacheField>
    <cacheField name="KPI Performance" numFmtId="9">
      <sharedItems containsSemiMixedTypes="0" containsString="0" containsNumber="1" minValue="0.6" maxValue="1"/>
    </cacheField>
    <cacheField name="Usia_2025" numFmtId="0">
      <sharedItems containsSemiMixedTypes="0" containsString="0" containsNumber="1" containsInteger="1" minValue="25" maxValue="55"/>
    </cacheField>
    <cacheField name="Pensiun_2025" numFmtId="0">
      <sharedItems count="2">
        <s v="Tidak"/>
        <s v="Ya"/>
      </sharedItems>
    </cacheField>
    <cacheField name="Kategori_KPI" numFmtId="0">
      <sharedItems count="2">
        <s v="Good"/>
        <s v="Poo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zalinda" refreshedDate="46150.462047685185" createdVersion="8" refreshedVersion="8" minRefreshableVersion="3" recordCount="123" xr:uid="{EA1AACE4-048D-48DC-91ED-89053DE58578}">
  <cacheSource type="worksheet">
    <worksheetSource ref="A1:O124" sheet="Data Karyawan"/>
  </cacheSource>
  <cacheFields count="15">
    <cacheField name="No ID" numFmtId="0">
      <sharedItems/>
    </cacheField>
    <cacheField name="Nama Karyawan" numFmtId="0">
      <sharedItems/>
    </cacheField>
    <cacheField name="Base" numFmtId="0">
      <sharedItems/>
    </cacheField>
    <cacheField name="Tipe Karyawan" numFmtId="0">
      <sharedItems/>
    </cacheField>
    <cacheField name="Mulai Bekerja" numFmtId="14">
      <sharedItems containsSemiMixedTypes="0" containsNonDate="0" containsDate="1" containsString="0" minDate="2000-03-13T00:00:00" maxDate="2024-03-02T00:00:00"/>
    </cacheField>
    <cacheField name="Agama" numFmtId="0">
      <sharedItems/>
    </cacheField>
    <cacheField name="Jenis Kelamin" numFmtId="0">
      <sharedItems/>
    </cacheField>
    <cacheField name="Tempat" numFmtId="0">
      <sharedItems/>
    </cacheField>
    <cacheField name="Tanggal Lahir" numFmtId="14">
      <sharedItems containsSemiMixedTypes="0" containsNonDate="0" containsDate="1" containsString="0" minDate="1970-05-29T00:00:00" maxDate="2000-06-17T00:00:00"/>
    </cacheField>
    <cacheField name="KPI Performance" numFmtId="9">
      <sharedItems containsSemiMixedTypes="0" containsString="0" containsNumber="1" minValue="0.6" maxValue="1"/>
    </cacheField>
    <cacheField name="Usia_2025" numFmtId="0">
      <sharedItems containsSemiMixedTypes="0" containsString="0" containsNumber="1" containsInteger="1" minValue="25" maxValue="55"/>
    </cacheField>
    <cacheField name="Pensiun_2025" numFmtId="0">
      <sharedItems/>
    </cacheField>
    <cacheField name="Kategori_KPI" numFmtId="0">
      <sharedItems count="2">
        <s v="Good"/>
        <s v="Poor"/>
      </sharedItems>
    </cacheField>
    <cacheField name="Jabatan" numFmtId="0">
      <sharedItems count="7">
        <s v="Senior Staff"/>
        <s v="Supervisor"/>
        <s v="Staff"/>
        <s v="General Manager"/>
        <s v="Senior Manager"/>
        <s v="Junior Manager"/>
        <s v="CEO"/>
      </sharedItems>
    </cacheField>
    <cacheField name="Gaji" numFmtId="165">
      <sharedItems containsSemiMixedTypes="0" containsString="0" containsNumber="1" containsInteger="1" minValue="4000000" maxValue="4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zalinda" refreshedDate="46150.475262499996" createdVersion="8" refreshedVersion="8" minRefreshableVersion="3" recordCount="123" xr:uid="{18E12282-DA15-4251-9CDD-5CCEDBEFF145}">
  <cacheSource type="worksheet">
    <worksheetSource ref="A1:Q124" sheet="Data Karyawan"/>
  </cacheSource>
  <cacheFields count="17">
    <cacheField name="No ID" numFmtId="0">
      <sharedItems/>
    </cacheField>
    <cacheField name="Nama Karyawan" numFmtId="0">
      <sharedItems/>
    </cacheField>
    <cacheField name="Base" numFmtId="0">
      <sharedItems/>
    </cacheField>
    <cacheField name="Tipe Karyawan" numFmtId="0">
      <sharedItems/>
    </cacheField>
    <cacheField name="Mulai Bekerja" numFmtId="14">
      <sharedItems containsSemiMixedTypes="0" containsNonDate="0" containsDate="1" containsString="0" minDate="2000-03-13T00:00:00" maxDate="2024-03-02T00:00:00"/>
    </cacheField>
    <cacheField name="Agama" numFmtId="0">
      <sharedItems/>
    </cacheField>
    <cacheField name="Jenis Kelamin" numFmtId="0">
      <sharedItems/>
    </cacheField>
    <cacheField name="Tempat" numFmtId="0">
      <sharedItems/>
    </cacheField>
    <cacheField name="Tanggal Lahir" numFmtId="14">
      <sharedItems containsSemiMixedTypes="0" containsNonDate="0" containsDate="1" containsString="0" minDate="1970-05-29T00:00:00" maxDate="2000-06-17T00:00:00"/>
    </cacheField>
    <cacheField name="KPI Performance" numFmtId="9">
      <sharedItems containsSemiMixedTypes="0" containsString="0" containsNumber="1" minValue="0.6" maxValue="1"/>
    </cacheField>
    <cacheField name="Usia_2025" numFmtId="0">
      <sharedItems containsSemiMixedTypes="0" containsString="0" containsNumber="1" containsInteger="1" minValue="25" maxValue="55"/>
    </cacheField>
    <cacheField name="Pensiun_2025" numFmtId="0">
      <sharedItems/>
    </cacheField>
    <cacheField name="Kategori_KPI" numFmtId="0">
      <sharedItems/>
    </cacheField>
    <cacheField name="Jabatan" numFmtId="0">
      <sharedItems count="7">
        <s v="Senior Staff"/>
        <s v="Supervisor"/>
        <s v="Staff"/>
        <s v="General Manager"/>
        <s v="Senior Manager"/>
        <s v="Junior Manager"/>
        <s v="CEO"/>
      </sharedItems>
    </cacheField>
    <cacheField name="Gaji" numFmtId="165">
      <sharedItems containsSemiMixedTypes="0" containsString="0" containsNumber="1" containsInteger="1" minValue="4000000" maxValue="40000000"/>
    </cacheField>
    <cacheField name="Pengali_Bonus" numFmtId="0">
      <sharedItems containsSemiMixedTypes="0" containsString="0" containsNumber="1" containsInteger="1" minValue="1" maxValue="2"/>
    </cacheField>
    <cacheField name="Bonus" numFmtId="0">
      <sharedItems containsSemiMixedTypes="0" containsString="0" containsNumber="1" containsInteger="1" minValue="0" maxValue="36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zalinda" refreshedDate="46150.497141087966" createdVersion="8" refreshedVersion="8" minRefreshableVersion="3" recordCount="123" xr:uid="{4ED8275E-A8CD-421A-8A55-0F8808DD0839}">
  <cacheSource type="worksheet">
    <worksheetSource ref="A1:R124" sheet="Data Karyawan"/>
  </cacheSource>
  <cacheFields count="18">
    <cacheField name="No ID" numFmtId="0">
      <sharedItems/>
    </cacheField>
    <cacheField name="Nama Karyawan" numFmtId="0">
      <sharedItems/>
    </cacheField>
    <cacheField name="Base" numFmtId="0">
      <sharedItems/>
    </cacheField>
    <cacheField name="Tipe Karyawan" numFmtId="0">
      <sharedItems/>
    </cacheField>
    <cacheField name="Mulai Bekerja" numFmtId="14">
      <sharedItems containsSemiMixedTypes="0" containsNonDate="0" containsDate="1" containsString="0" minDate="2000-03-13T00:00:00" maxDate="2024-03-02T00:00:00"/>
    </cacheField>
    <cacheField name="Agama" numFmtId="0">
      <sharedItems/>
    </cacheField>
    <cacheField name="Jenis Kelamin" numFmtId="0">
      <sharedItems/>
    </cacheField>
    <cacheField name="Tempat" numFmtId="0">
      <sharedItems/>
    </cacheField>
    <cacheField name="Tanggal Lahir" numFmtId="14">
      <sharedItems containsSemiMixedTypes="0" containsNonDate="0" containsDate="1" containsString="0" minDate="1970-05-29T00:00:00" maxDate="2000-06-17T00:00:00"/>
    </cacheField>
    <cacheField name="KPI Performance" numFmtId="9">
      <sharedItems containsSemiMixedTypes="0" containsString="0" containsNumber="1" minValue="0.6" maxValue="1"/>
    </cacheField>
    <cacheField name="Usia_2025" numFmtId="0">
      <sharedItems containsSemiMixedTypes="0" containsString="0" containsNumber="1" containsInteger="1" minValue="25" maxValue="55"/>
    </cacheField>
    <cacheField name="Pensiun_2025" numFmtId="0">
      <sharedItems/>
    </cacheField>
    <cacheField name="Kategori_KPI" numFmtId="0">
      <sharedItems count="2">
        <s v="Good"/>
        <s v="Poor"/>
      </sharedItems>
    </cacheField>
    <cacheField name="Jabatan" numFmtId="0">
      <sharedItems/>
    </cacheField>
    <cacheField name="Gaji" numFmtId="165">
      <sharedItems containsSemiMixedTypes="0" containsString="0" containsNumber="1" containsInteger="1" minValue="4000000" maxValue="40000000"/>
    </cacheField>
    <cacheField name="Pengali_Bonus" numFmtId="0">
      <sharedItems containsSemiMixedTypes="0" containsString="0" containsNumber="1" containsInteger="1" minValue="1" maxValue="2"/>
    </cacheField>
    <cacheField name="Bonus" numFmtId="0">
      <sharedItems containsSemiMixedTypes="0" containsString="0" containsNumber="1" containsInteger="1" minValue="0" maxValue="36000000"/>
    </cacheField>
    <cacheField name="Gender_Nama" numFmtId="0">
      <sharedItems count="2">
        <s v="Perempuan"/>
        <s v="Laki-Lak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zalinda" refreshedDate="46150.506665046298" createdVersion="8" refreshedVersion="8" minRefreshableVersion="3" recordCount="123" xr:uid="{BBF6FD4D-B686-42A5-8B87-0B43D5D09389}">
  <cacheSource type="worksheet">
    <worksheetSource ref="A1:S124" sheet="Data Karyawan"/>
  </cacheSource>
  <cacheFields count="19">
    <cacheField name="No ID" numFmtId="0">
      <sharedItems/>
    </cacheField>
    <cacheField name="Nama Karyawan" numFmtId="0">
      <sharedItems/>
    </cacheField>
    <cacheField name="Base" numFmtId="0">
      <sharedItems/>
    </cacheField>
    <cacheField name="Tipe Karyawan" numFmtId="0">
      <sharedItems/>
    </cacheField>
    <cacheField name="Mulai Bekerja" numFmtId="14">
      <sharedItems containsSemiMixedTypes="0" containsNonDate="0" containsDate="1" containsString="0" minDate="2000-03-13T00:00:00" maxDate="2024-03-02T00:00:00"/>
    </cacheField>
    <cacheField name="Agama" numFmtId="0">
      <sharedItems/>
    </cacheField>
    <cacheField name="Jenis Kelamin" numFmtId="0">
      <sharedItems/>
    </cacheField>
    <cacheField name="Tempat" numFmtId="0">
      <sharedItems/>
    </cacheField>
    <cacheField name="Tanggal Lahir" numFmtId="14">
      <sharedItems containsSemiMixedTypes="0" containsNonDate="0" containsDate="1" containsString="0" minDate="1970-05-29T00:00:00" maxDate="2000-06-17T00:00:00"/>
    </cacheField>
    <cacheField name="KPI Performance" numFmtId="9">
      <sharedItems containsSemiMixedTypes="0" containsString="0" containsNumber="1" minValue="0.6" maxValue="1"/>
    </cacheField>
    <cacheField name="Usia_2025" numFmtId="0">
      <sharedItems containsSemiMixedTypes="0" containsString="0" containsNumber="1" containsInteger="1" minValue="25" maxValue="55"/>
    </cacheField>
    <cacheField name="Pensiun_2025" numFmtId="0">
      <sharedItems count="2">
        <s v="Tidak"/>
        <s v="Ya"/>
      </sharedItems>
    </cacheField>
    <cacheField name="Kategori_KPI" numFmtId="0">
      <sharedItems/>
    </cacheField>
    <cacheField name="Jabatan" numFmtId="0">
      <sharedItems count="7">
        <s v="Senior Staff"/>
        <s v="Supervisor"/>
        <s v="Staff"/>
        <s v="General Manager"/>
        <s v="Senior Manager"/>
        <s v="Junior Manager"/>
        <s v="CEO"/>
      </sharedItems>
    </cacheField>
    <cacheField name="Gaji" numFmtId="165">
      <sharedItems containsSemiMixedTypes="0" containsString="0" containsNumber="1" containsInteger="1" minValue="4000000" maxValue="40000000"/>
    </cacheField>
    <cacheField name="Pengali_Bonus" numFmtId="0">
      <sharedItems containsSemiMixedTypes="0" containsString="0" containsNumber="1" containsInteger="1" minValue="1" maxValue="2"/>
    </cacheField>
    <cacheField name="Bonus" numFmtId="0">
      <sharedItems containsSemiMixedTypes="0" containsString="0" containsNumber="1" containsInteger="1" minValue="0" maxValue="36000000"/>
    </cacheField>
    <cacheField name="Gender_Nama" numFmtId="0">
      <sharedItems count="2">
        <s v="Perempuan"/>
        <s v="Laki-Laki"/>
      </sharedItems>
    </cacheField>
    <cacheField name="Tahun_Masuk" numFmtId="0">
      <sharedItems containsSemiMixedTypes="0" containsString="0" containsNumber="1" containsInteger="1" minValue="2000" maxValue="2024" count="23">
        <n v="2017"/>
        <n v="2021"/>
        <n v="2022"/>
        <n v="2019"/>
        <n v="2018"/>
        <n v="2014"/>
        <n v="2007"/>
        <n v="2010"/>
        <n v="2000"/>
        <n v="2009"/>
        <n v="2006"/>
        <n v="2020"/>
        <n v="2023"/>
        <n v="2005"/>
        <n v="2012"/>
        <n v="2016"/>
        <n v="2013"/>
        <n v="2011"/>
        <n v="2004"/>
        <n v="2024"/>
        <n v="2008"/>
        <n v="2015"/>
        <n v="200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s v="N1707"/>
    <s v="Dewi Kartini"/>
    <x v="0"/>
    <x v="0"/>
    <d v="2017-07-04T00:00:00"/>
    <s v="Kristen"/>
    <s v="F"/>
    <s v="JAKARTA PUSAT"/>
    <d v="1987-11-08T00:00:00"/>
    <n v="0.99"/>
    <n v="38"/>
    <x v="0"/>
  </r>
  <r>
    <s v="N2498"/>
    <s v="Siti Rahayu"/>
    <x v="0"/>
    <x v="0"/>
    <d v="2021-08-09T00:00:00"/>
    <s v="Islam"/>
    <s v="F"/>
    <s v="BANDUNG"/>
    <d v="1992-04-18T00:00:00"/>
    <n v="0.77"/>
    <n v="33"/>
    <x v="0"/>
  </r>
  <r>
    <s v="E2513"/>
    <s v="Lina Puspitasari"/>
    <x v="0"/>
    <x v="1"/>
    <d v="2021-08-16T00:00:00"/>
    <s v="Islam"/>
    <s v="F"/>
    <s v="BOGOR"/>
    <d v="1995-03-10T00:00:00"/>
    <n v="0.7"/>
    <n v="30"/>
    <x v="0"/>
  </r>
  <r>
    <s v="N1674"/>
    <s v="Ratna Kusuma"/>
    <x v="0"/>
    <x v="0"/>
    <d v="2017-03-06T00:00:00"/>
    <s v="Islam"/>
    <s v="F"/>
    <s v="JAKARTA"/>
    <d v="1991-11-27T00:00:00"/>
    <n v="0.6"/>
    <n v="34"/>
    <x v="0"/>
  </r>
  <r>
    <s v="E2640"/>
    <s v="Chicco Jerikho"/>
    <x v="0"/>
    <x v="1"/>
    <d v="2022-06-06T00:00:00"/>
    <s v="Kristen"/>
    <s v="M"/>
    <s v="LAMPUNG"/>
    <d v="1996-05-11T00:00:00"/>
    <n v="0.7"/>
    <n v="29"/>
    <x v="0"/>
  </r>
  <r>
    <s v="N2016"/>
    <s v="Arifin Sutedjo"/>
    <x v="0"/>
    <x v="0"/>
    <d v="2019-01-14T00:00:00"/>
    <s v="Islam"/>
    <s v="M"/>
    <s v="JAKARTA"/>
    <d v="1993-12-04T00:00:00"/>
    <n v="0.67"/>
    <n v="32"/>
    <x v="0"/>
  </r>
  <r>
    <s v="E2054"/>
    <s v="Agus Suharto"/>
    <x v="0"/>
    <x v="1"/>
    <d v="2019-04-22T00:00:00"/>
    <s v="Islam"/>
    <s v="M"/>
    <s v="PURBALINGGA"/>
    <d v="1994-09-23T00:00:00"/>
    <n v="0.63"/>
    <n v="31"/>
    <x v="0"/>
  </r>
  <r>
    <s v="E1881"/>
    <s v="Lita Damayanti"/>
    <x v="0"/>
    <x v="1"/>
    <d v="2018-06-25T00:00:00"/>
    <s v="Islam"/>
    <s v="F"/>
    <s v="TANGERANG"/>
    <d v="1993-12-14T00:00:00"/>
    <n v="0.79"/>
    <n v="32"/>
    <x v="0"/>
  </r>
  <r>
    <s v="E2161"/>
    <s v="Eko Pramono"/>
    <x v="0"/>
    <x v="1"/>
    <d v="2019-12-02T00:00:00"/>
    <s v="Islam"/>
    <s v="M"/>
    <s v="JAKARTA"/>
    <d v="1994-04-04T00:00:00"/>
    <n v="0.94"/>
    <n v="31"/>
    <x v="0"/>
  </r>
  <r>
    <s v="N2031"/>
    <s v="Lina Handayani"/>
    <x v="0"/>
    <x v="0"/>
    <d v="2019-03-04T00:00:00"/>
    <s v="Islam"/>
    <s v="F"/>
    <s v="BANDUNG"/>
    <d v="1990-11-12T00:00:00"/>
    <n v="0.62"/>
    <n v="35"/>
    <x v="0"/>
  </r>
  <r>
    <s v="N1173"/>
    <s v="Chicco Kurniawan"/>
    <x v="0"/>
    <x v="0"/>
    <d v="2014-06-02T00:00:00"/>
    <s v="Islam"/>
    <s v="M"/>
    <s v="JAKARTA"/>
    <d v="1990-03-18T00:00:00"/>
    <n v="0.69"/>
    <n v="35"/>
    <x v="0"/>
  </r>
  <r>
    <s v="E1005"/>
    <s v="Yanto Setiawan"/>
    <x v="0"/>
    <x v="1"/>
    <d v="2007-08-01T00:00:00"/>
    <s v="Islam"/>
    <s v="M"/>
    <s v="TASIKMALAYA"/>
    <d v="1979-03-02T00:00:00"/>
    <n v="0.84"/>
    <n v="46"/>
    <x v="0"/>
  </r>
  <r>
    <s v="E1063"/>
    <s v="Joko Nugroho"/>
    <x v="0"/>
    <x v="1"/>
    <d v="2010-10-01T00:00:00"/>
    <s v="Islam"/>
    <s v="M"/>
    <s v="JAKARTA"/>
    <d v="1985-09-01T00:00:00"/>
    <n v="0.7"/>
    <n v="40"/>
    <x v="0"/>
  </r>
  <r>
    <s v="E1974"/>
    <s v="Arianto Wibowo"/>
    <x v="1"/>
    <x v="1"/>
    <d v="2018-11-01T00:00:00"/>
    <s v="Islam"/>
    <s v="M"/>
    <s v="JAKARTA"/>
    <d v="1989-02-04T00:00:00"/>
    <n v="0.84"/>
    <n v="36"/>
    <x v="0"/>
  </r>
  <r>
    <s v="E0828"/>
    <s v="Erwin Gutawa"/>
    <x v="0"/>
    <x v="1"/>
    <d v="2000-08-01T00:00:00"/>
    <s v="Islam"/>
    <s v="M"/>
    <s v="BATANG"/>
    <d v="1975-03-10T00:00:00"/>
    <n v="0.89"/>
    <n v="50"/>
    <x v="1"/>
  </r>
  <r>
    <s v="E1054"/>
    <s v="Aliando Syarief"/>
    <x v="0"/>
    <x v="1"/>
    <d v="2009-11-09T00:00:00"/>
    <s v="Islam"/>
    <s v="M"/>
    <s v="TANGERANG"/>
    <d v="1984-12-26T00:00:00"/>
    <n v="1"/>
    <n v="41"/>
    <x v="0"/>
  </r>
  <r>
    <s v="E1703"/>
    <s v="Tuti Rahmawati"/>
    <x v="0"/>
    <x v="1"/>
    <d v="2017-06-14T00:00:00"/>
    <s v="Islam"/>
    <s v="F"/>
    <s v="KARANGANYAR"/>
    <d v="1984-07-23T00:00:00"/>
    <n v="0.85"/>
    <n v="41"/>
    <x v="0"/>
  </r>
  <r>
    <s v="E2840"/>
    <s v="Eko Sutomo"/>
    <x v="0"/>
    <x v="1"/>
    <d v="2022-12-05T00:00:00"/>
    <s v="Kristen"/>
    <s v="M"/>
    <s v="TOMOHON"/>
    <d v="1986-06-04T00:00:00"/>
    <n v="0.68"/>
    <n v="39"/>
    <x v="0"/>
  </r>
  <r>
    <s v="E1861"/>
    <s v="Rina Kurniati"/>
    <x v="0"/>
    <x v="1"/>
    <d v="2018-04-16T00:00:00"/>
    <s v="Islam"/>
    <s v="F"/>
    <s v="JAKARTA"/>
    <d v="1994-03-01T00:00:00"/>
    <n v="0.64"/>
    <n v="31"/>
    <x v="0"/>
  </r>
  <r>
    <s v="N1860"/>
    <s v="Arif Setiawan"/>
    <x v="0"/>
    <x v="0"/>
    <d v="2018-04-16T00:00:00"/>
    <s v="Islam"/>
    <s v="M"/>
    <s v="JAKARTA"/>
    <d v="1994-03-01T00:00:00"/>
    <n v="0.81"/>
    <n v="31"/>
    <x v="0"/>
  </r>
  <r>
    <s v="N0951"/>
    <s v="Choky Sitohang"/>
    <x v="0"/>
    <x v="0"/>
    <d v="2006-07-24T00:00:00"/>
    <s v="Islam"/>
    <s v="M"/>
    <s v="BLITAR"/>
    <d v="1983-02-17T00:00:00"/>
    <n v="0.73"/>
    <n v="42"/>
    <x v="0"/>
  </r>
  <r>
    <s v="E2575"/>
    <s v="Retno Cahyani"/>
    <x v="0"/>
    <x v="1"/>
    <d v="2022-01-10T00:00:00"/>
    <s v="Islam"/>
    <s v="F"/>
    <s v="PALEMBANG"/>
    <d v="1996-10-17T00:00:00"/>
    <n v="0.93"/>
    <n v="29"/>
    <x v="0"/>
  </r>
  <r>
    <s v="N2619"/>
    <s v="Benyamin Sueb"/>
    <x v="0"/>
    <x v="0"/>
    <d v="2022-05-10T00:00:00"/>
    <s v="Kristen"/>
    <s v="M"/>
    <s v="JAKARTA"/>
    <d v="1985-01-19T00:00:00"/>
    <n v="0.71"/>
    <n v="40"/>
    <x v="0"/>
  </r>
  <r>
    <s v="E2321"/>
    <s v="Rudi Haryanto"/>
    <x v="1"/>
    <x v="1"/>
    <d v="2020-07-01T00:00:00"/>
    <s v="Islam"/>
    <s v="M"/>
    <s v="JAKARTA"/>
    <d v="1987-03-13T00:00:00"/>
    <n v="0.86"/>
    <n v="38"/>
    <x v="0"/>
  </r>
  <r>
    <s v="E2620"/>
    <s v="Alvaro Maldini"/>
    <x v="0"/>
    <x v="1"/>
    <d v="2022-05-09T00:00:00"/>
    <s v="Islam"/>
    <s v="M"/>
    <s v="KUNINGAN"/>
    <d v="1996-01-16T00:00:00"/>
    <n v="0.89"/>
    <n v="29"/>
    <x v="0"/>
  </r>
  <r>
    <s v="E1690"/>
    <s v="Wati Sulistiani"/>
    <x v="0"/>
    <x v="1"/>
    <d v="2017-05-15T00:00:00"/>
    <s v="Islam"/>
    <s v="F"/>
    <s v="JAKARTA"/>
    <d v="1993-03-24T00:00:00"/>
    <n v="0.98"/>
    <n v="32"/>
    <x v="0"/>
  </r>
  <r>
    <s v="E1064"/>
    <s v="Budi Santoso"/>
    <x v="0"/>
    <x v="1"/>
    <d v="2010-10-01T00:00:00"/>
    <s v="Islam"/>
    <s v="M"/>
    <s v="INDRAMAYU"/>
    <d v="1984-12-03T00:00:00"/>
    <n v="0.97"/>
    <n v="41"/>
    <x v="0"/>
  </r>
  <r>
    <s v="E1065"/>
    <s v="Indah Wulandari"/>
    <x v="0"/>
    <x v="1"/>
    <d v="2010-10-01T00:00:00"/>
    <s v="Islam"/>
    <s v="F"/>
    <s v="MEDAN"/>
    <d v="1979-06-02T00:00:00"/>
    <n v="0.87"/>
    <n v="46"/>
    <x v="0"/>
  </r>
  <r>
    <s v="E1841"/>
    <s v="Dodit Mulyanto"/>
    <x v="0"/>
    <x v="1"/>
    <d v="2018-03-05T00:00:00"/>
    <s v="Islam"/>
    <s v="M"/>
    <s v="JAKARTA"/>
    <d v="1986-11-12T00:00:00"/>
    <n v="0.96"/>
    <n v="39"/>
    <x v="0"/>
  </r>
  <r>
    <s v="E2867"/>
    <s v="Putri Sari"/>
    <x v="0"/>
    <x v="1"/>
    <d v="2023-01-02T00:00:00"/>
    <s v="Islam"/>
    <s v="F"/>
    <s v="TASIKMALAYA"/>
    <d v="1996-08-24T00:00:00"/>
    <n v="0.85"/>
    <n v="29"/>
    <x v="0"/>
  </r>
  <r>
    <s v="N1720"/>
    <s v="Al Ghazali"/>
    <x v="0"/>
    <x v="0"/>
    <d v="2017-07-17T00:00:00"/>
    <s v="Islam"/>
    <s v="M"/>
    <s v="TRENGGALEK"/>
    <d v="1988-08-15T00:00:00"/>
    <n v="0.74"/>
    <n v="37"/>
    <x v="0"/>
  </r>
  <r>
    <s v="E1880"/>
    <s v="Retno Sulistyowati"/>
    <x v="0"/>
    <x v="1"/>
    <d v="2018-06-21T00:00:00"/>
    <s v="Islam"/>
    <s v="F"/>
    <s v="BANDUNG"/>
    <d v="1989-02-05T00:00:00"/>
    <n v="0.77"/>
    <n v="36"/>
    <x v="0"/>
  </r>
  <r>
    <s v="E1929"/>
    <s v="Alvin Adam"/>
    <x v="0"/>
    <x v="1"/>
    <d v="2018-09-03T00:00:00"/>
    <s v="Islam"/>
    <s v="M"/>
    <s v="GROBOGAN"/>
    <d v="1995-02-10T00:00:00"/>
    <n v="0.62"/>
    <n v="30"/>
    <x v="0"/>
  </r>
  <r>
    <s v="E0911"/>
    <s v="Nita Permata"/>
    <x v="2"/>
    <x v="1"/>
    <d v="2005-07-01T00:00:00"/>
    <s v="Islam"/>
    <s v="M"/>
    <s v="SIDOARJO"/>
    <d v="1980-09-05T00:00:00"/>
    <n v="0.91"/>
    <n v="45"/>
    <x v="0"/>
  </r>
  <r>
    <s v="E2170"/>
    <s v="Bertrand Antolin"/>
    <x v="0"/>
    <x v="1"/>
    <d v="2019-12-09T00:00:00"/>
    <s v="Islam"/>
    <s v="M"/>
    <s v="JAKARTA"/>
    <d v="1996-03-30T00:00:00"/>
    <n v="0.61"/>
    <n v="29"/>
    <x v="0"/>
  </r>
  <r>
    <s v="E1111"/>
    <s v="Wulan Puspita"/>
    <x v="0"/>
    <x v="1"/>
    <d v="2012-09-17T00:00:00"/>
    <s v="Islam"/>
    <s v="F"/>
    <s v="BANDUNG"/>
    <d v="1985-10-14T00:00:00"/>
    <n v="0.84"/>
    <n v="40"/>
    <x v="0"/>
  </r>
  <r>
    <s v="E1081"/>
    <s v="Maya Wati"/>
    <x v="0"/>
    <x v="1"/>
    <d v="2012-01-02T00:00:00"/>
    <s v="Islam"/>
    <s v="F"/>
    <s v="TAMAN SARI"/>
    <d v="1989-04-20T00:00:00"/>
    <n v="0.76"/>
    <n v="36"/>
    <x v="0"/>
  </r>
  <r>
    <s v="E2134"/>
    <s v="Aaron Ashab"/>
    <x v="0"/>
    <x v="1"/>
    <d v="2019-10-10T00:00:00"/>
    <s v="Islam"/>
    <s v="M"/>
    <s v="PADANG"/>
    <d v="1990-07-07T00:00:00"/>
    <n v="0.89"/>
    <n v="35"/>
    <x v="0"/>
  </r>
  <r>
    <s v="N2584"/>
    <s v="Surya Permana"/>
    <x v="3"/>
    <x v="0"/>
    <d v="2022-02-02T00:00:00"/>
    <s v="Islam"/>
    <s v="M"/>
    <s v="MALANG"/>
    <d v="1991-07-07T00:00:00"/>
    <n v="0.73"/>
    <n v="34"/>
    <x v="0"/>
  </r>
  <r>
    <s v="N2583"/>
    <s v="Retno Purnomo"/>
    <x v="3"/>
    <x v="0"/>
    <d v="2022-02-02T00:00:00"/>
    <s v="Islam"/>
    <s v="F"/>
    <s v="MALANG"/>
    <d v="1991-07-07T00:00:00"/>
    <n v="0.8"/>
    <n v="34"/>
    <x v="0"/>
  </r>
  <r>
    <s v="N1453"/>
    <s v="Joko Susanto"/>
    <x v="0"/>
    <x v="0"/>
    <d v="2016-02-01T00:00:00"/>
    <s v="Islam"/>
    <s v="M"/>
    <s v="BANYUWANGI"/>
    <d v="1980-02-25T00:00:00"/>
    <n v="0.73"/>
    <n v="45"/>
    <x v="0"/>
  </r>
  <r>
    <s v="E1491"/>
    <s v="Donny Alamsyah"/>
    <x v="0"/>
    <x v="1"/>
    <d v="2016-02-10T00:00:00"/>
    <s v="Islam"/>
    <s v="M"/>
    <s v="JAKARTA"/>
    <d v="1989-03-16T00:00:00"/>
    <n v="0.84"/>
    <n v="36"/>
    <x v="0"/>
  </r>
  <r>
    <s v="E1490"/>
    <s v="Nia Fitriani"/>
    <x v="0"/>
    <x v="1"/>
    <d v="2016-02-10T00:00:00"/>
    <s v="Islam"/>
    <s v="F"/>
    <s v="JAKARTA"/>
    <d v="1989-03-16T00:00:00"/>
    <n v="1"/>
    <n v="36"/>
    <x v="0"/>
  </r>
  <r>
    <s v="E2201"/>
    <s v="Astuti Hartati"/>
    <x v="0"/>
    <x v="1"/>
    <d v="2020-01-20T00:00:00"/>
    <s v="Islam"/>
    <s v="F"/>
    <s v="BANDUNG"/>
    <d v="1992-08-21T00:00:00"/>
    <n v="0.86"/>
    <n v="33"/>
    <x v="0"/>
  </r>
  <r>
    <s v="N1134"/>
    <s v="Rizal Prasetya"/>
    <x v="4"/>
    <x v="0"/>
    <d v="2013-02-18T00:00:00"/>
    <s v="Islam"/>
    <s v="M"/>
    <s v="JEMBER"/>
    <d v="1986-04-10T00:00:00"/>
    <n v="0.76"/>
    <n v="39"/>
    <x v="0"/>
  </r>
  <r>
    <s v="N1068"/>
    <s v="Nita Wulandari"/>
    <x v="0"/>
    <x v="0"/>
    <d v="2011-04-11T00:00:00"/>
    <s v="Islam"/>
    <s v="F"/>
    <s v="SRAGEN"/>
    <d v="1987-03-13T00:00:00"/>
    <n v="0.95"/>
    <n v="38"/>
    <x v="0"/>
  </r>
  <r>
    <s v="E0896"/>
    <s v="Esa Sigit"/>
    <x v="0"/>
    <x v="1"/>
    <d v="2004-05-10T00:00:00"/>
    <s v="Islam"/>
    <s v="M"/>
    <s v="JAKARTA"/>
    <d v="1975-08-09T00:00:00"/>
    <n v="0.73"/>
    <n v="50"/>
    <x v="1"/>
  </r>
  <r>
    <s v="E0931"/>
    <s v="Rika Sari"/>
    <x v="0"/>
    <x v="1"/>
    <d v="2006-05-01T00:00:00"/>
    <s v="Islam"/>
    <s v="M"/>
    <s v="JAKARTA"/>
    <d v="1979-02-16T00:00:00"/>
    <n v="0.87"/>
    <n v="46"/>
    <x v="0"/>
  </r>
  <r>
    <s v="E0813"/>
    <s v="Winda Pertiwi"/>
    <x v="0"/>
    <x v="1"/>
    <d v="2000-06-01T00:00:00"/>
    <s v="Islam"/>
    <s v="F"/>
    <s v="JAKARTA"/>
    <d v="1971-11-01T00:00:00"/>
    <n v="0.71"/>
    <n v="54"/>
    <x v="1"/>
  </r>
  <r>
    <s v="E3144"/>
    <s v="Agus Santoso"/>
    <x v="0"/>
    <x v="1"/>
    <d v="2024-03-01T00:00:00"/>
    <s v="Islam"/>
    <s v="M"/>
    <s v="JAKARTA"/>
    <d v="1995-02-15T00:00:00"/>
    <n v="0.66"/>
    <n v="30"/>
    <x v="0"/>
  </r>
  <r>
    <s v="E3143"/>
    <s v="Rudi Prasetya"/>
    <x v="0"/>
    <x v="1"/>
    <d v="2024-03-01T00:00:00"/>
    <s v="Islam"/>
    <s v="M"/>
    <s v="JAKARTA"/>
    <d v="1995-02-15T00:00:00"/>
    <n v="0.88"/>
    <n v="30"/>
    <x v="0"/>
  </r>
  <r>
    <s v="N2114"/>
    <s v="Dedy Santoso"/>
    <x v="0"/>
    <x v="0"/>
    <d v="2019-09-02T00:00:00"/>
    <s v="Islam"/>
    <s v="M"/>
    <s v="CILACAP"/>
    <d v="1993-08-28T00:00:00"/>
    <n v="0.91"/>
    <n v="32"/>
    <x v="0"/>
  </r>
  <r>
    <s v="E1885"/>
    <s v="Bagus Satria"/>
    <x v="1"/>
    <x v="1"/>
    <d v="2018-07-02T00:00:00"/>
    <s v="Islam"/>
    <s v="M"/>
    <s v="SUMATRA UTARA"/>
    <d v="1992-07-05T00:00:00"/>
    <n v="0.79"/>
    <n v="33"/>
    <x v="0"/>
  </r>
  <r>
    <s v="E2898"/>
    <s v="Ahmad Hidayat"/>
    <x v="0"/>
    <x v="1"/>
    <d v="2023-03-20T00:00:00"/>
    <s v="Islam"/>
    <s v="M"/>
    <s v="JAKARTA"/>
    <d v="1996-10-13T00:00:00"/>
    <n v="0.76"/>
    <n v="29"/>
    <x v="0"/>
  </r>
  <r>
    <s v="N1565"/>
    <s v="Sigit Saputra"/>
    <x v="0"/>
    <x v="0"/>
    <d v="2016-08-01T00:00:00"/>
    <s v="Islam"/>
    <s v="M"/>
    <s v="JAKARTA"/>
    <d v="1978-10-31T00:00:00"/>
    <n v="0.71"/>
    <n v="47"/>
    <x v="0"/>
  </r>
  <r>
    <s v="N2378"/>
    <s v="Agus Nugroho"/>
    <x v="0"/>
    <x v="0"/>
    <d v="2020-10-19T00:00:00"/>
    <s v="Islam"/>
    <s v="M"/>
    <s v="JOMBANG"/>
    <d v="1996-08-03T00:00:00"/>
    <n v="0.75"/>
    <n v="29"/>
    <x v="0"/>
  </r>
  <r>
    <s v="N1191"/>
    <s v="Joko Sutrisno"/>
    <x v="0"/>
    <x v="0"/>
    <d v="2014-11-01T00:00:00"/>
    <s v="Islam"/>
    <s v="M"/>
    <s v="BOGOR"/>
    <d v="1985-11-26T00:00:00"/>
    <n v="0.81"/>
    <n v="40"/>
    <x v="0"/>
  </r>
  <r>
    <s v="E1601"/>
    <s v="Iwan Prasetyo"/>
    <x v="0"/>
    <x v="1"/>
    <d v="2016-12-01T00:00:00"/>
    <s v="Islam"/>
    <s v="M"/>
    <s v="GRESIK"/>
    <d v="1988-03-26T00:00:00"/>
    <n v="1"/>
    <n v="37"/>
    <x v="0"/>
  </r>
  <r>
    <s v="E3140"/>
    <s v="Dodi Nugraha"/>
    <x v="0"/>
    <x v="1"/>
    <d v="2024-03-01T00:00:00"/>
    <s v="Islam"/>
    <s v="M"/>
    <s v="JAKARTA"/>
    <d v="1994-12-19T00:00:00"/>
    <n v="0.91"/>
    <n v="31"/>
    <x v="0"/>
  </r>
  <r>
    <s v="E3142"/>
    <s v="Rika Sari"/>
    <x v="0"/>
    <x v="1"/>
    <d v="2024-03-01T00:00:00"/>
    <s v="Islam"/>
    <s v="F"/>
    <s v="JAKARTA"/>
    <d v="1994-12-19T00:00:00"/>
    <n v="0.62"/>
    <n v="31"/>
    <x v="0"/>
  </r>
  <r>
    <s v="E1604"/>
    <s v="Dian Purnama"/>
    <x v="0"/>
    <x v="1"/>
    <d v="2016-12-13T00:00:00"/>
    <s v="Islam"/>
    <s v="F"/>
    <s v="TUAL"/>
    <d v="1988-02-18T00:00:00"/>
    <n v="0.72"/>
    <n v="37"/>
    <x v="0"/>
  </r>
  <r>
    <s v="E0892"/>
    <s v="Ernest Prakasa"/>
    <x v="0"/>
    <x v="1"/>
    <d v="2004-03-11T00:00:00"/>
    <s v="Islam"/>
    <s v="M"/>
    <s v="JAKARTA"/>
    <d v="1976-11-03T00:00:00"/>
    <n v="0.77"/>
    <n v="49"/>
    <x v="0"/>
  </r>
  <r>
    <s v="E1109"/>
    <s v="Yudi Susilo"/>
    <x v="0"/>
    <x v="1"/>
    <d v="2012-09-10T00:00:00"/>
    <s v="Islam"/>
    <s v="M"/>
    <s v="KARANGANYAR"/>
    <d v="1990-04-21T00:00:00"/>
    <n v="0.65"/>
    <n v="35"/>
    <x v="0"/>
  </r>
  <r>
    <s v="E2885"/>
    <s v="Retno Purnomo"/>
    <x v="0"/>
    <x v="1"/>
    <d v="2023-02-01T00:00:00"/>
    <s v="Islam"/>
    <s v="M"/>
    <s v="INDRAMAYU"/>
    <d v="1986-07-10T00:00:00"/>
    <n v="0.78"/>
    <n v="39"/>
    <x v="0"/>
  </r>
  <r>
    <s v="E1456"/>
    <s v="Rudi Hartono"/>
    <x v="0"/>
    <x v="1"/>
    <d v="2016-02-01T00:00:00"/>
    <s v="Islam"/>
    <s v="M"/>
    <s v="TANGERANG"/>
    <d v="1971-10-30T00:00:00"/>
    <n v="0.71"/>
    <n v="54"/>
    <x v="1"/>
  </r>
  <r>
    <s v="E1393"/>
    <s v="Rani Kartika"/>
    <x v="0"/>
    <x v="1"/>
    <d v="2016-02-01T00:00:00"/>
    <s v="Islam"/>
    <s v="F"/>
    <s v="TULUNGAGUNG"/>
    <d v="1986-01-08T00:00:00"/>
    <n v="0.63"/>
    <n v="39"/>
    <x v="0"/>
  </r>
  <r>
    <s v="E2322"/>
    <s v="Hadi Nugroho"/>
    <x v="0"/>
    <x v="1"/>
    <d v="2020-07-01T00:00:00"/>
    <s v="Islam"/>
    <s v="M"/>
    <s v="JAKARTA"/>
    <d v="1993-01-16T00:00:00"/>
    <n v="0.72"/>
    <n v="32"/>
    <x v="0"/>
  </r>
  <r>
    <s v="E0806"/>
    <s v="Rina Dewi"/>
    <x v="0"/>
    <x v="1"/>
    <d v="2000-05-01T00:00:00"/>
    <s v="Islam"/>
    <s v="F"/>
    <s v="BANDUNG"/>
    <d v="1970-05-29T00:00:00"/>
    <n v="0.91"/>
    <n v="55"/>
    <x v="1"/>
  </r>
  <r>
    <s v="E1866"/>
    <s v="Agung Prasetyo"/>
    <x v="0"/>
    <x v="1"/>
    <d v="2018-05-07T00:00:00"/>
    <s v="Islam"/>
    <s v="M"/>
    <s v="JAKARTA"/>
    <d v="1993-12-11T00:00:00"/>
    <n v="0.66"/>
    <n v="32"/>
    <x v="0"/>
  </r>
  <r>
    <s v="E2600"/>
    <s v="Sari Wulandari"/>
    <x v="0"/>
    <x v="1"/>
    <d v="2022-03-21T00:00:00"/>
    <s v="Islam"/>
    <s v="F"/>
    <s v="DI YOGYAKARTA"/>
    <d v="1995-07-16T00:00:00"/>
    <n v="0.88"/>
    <n v="30"/>
    <x v="0"/>
  </r>
  <r>
    <s v="E0956"/>
    <s v="Wahyu Prasetyo"/>
    <x v="0"/>
    <x v="1"/>
    <d v="2006-08-01T00:00:00"/>
    <s v="Islam"/>
    <s v="M"/>
    <s v="BANDUNG"/>
    <d v="1979-09-03T00:00:00"/>
    <n v="0.96"/>
    <n v="46"/>
    <x v="0"/>
  </r>
  <r>
    <s v="N2070"/>
    <s v="Bhisma Mulia"/>
    <x v="0"/>
    <x v="0"/>
    <d v="2019-06-10T00:00:00"/>
    <s v="Islam"/>
    <s v="M"/>
    <s v="PURWOKERTO"/>
    <d v="1994-03-18T00:00:00"/>
    <n v="0.82"/>
    <n v="31"/>
    <x v="0"/>
  </r>
  <r>
    <s v="N2777"/>
    <s v="Mega Fitri"/>
    <x v="0"/>
    <x v="0"/>
    <d v="2022-09-05T00:00:00"/>
    <s v="Islam"/>
    <s v="F"/>
    <s v="BOGOR"/>
    <d v="1997-08-29T00:00:00"/>
    <n v="0.68"/>
    <n v="28"/>
    <x v="0"/>
  </r>
  <r>
    <s v="E1718"/>
    <s v="Bambang Wijaya"/>
    <x v="0"/>
    <x v="1"/>
    <d v="2017-07-17T00:00:00"/>
    <s v="Islam"/>
    <s v="M"/>
    <s v="JAKARTA"/>
    <d v="1993-10-07T00:00:00"/>
    <n v="0.83"/>
    <n v="32"/>
    <x v="0"/>
  </r>
  <r>
    <s v="E1719"/>
    <s v="Maya Lestari"/>
    <x v="0"/>
    <x v="1"/>
    <d v="2017-07-17T00:00:00"/>
    <s v="Islam"/>
    <s v="F"/>
    <s v="JAKARTA"/>
    <d v="1993-10-07T00:00:00"/>
    <n v="0.66"/>
    <n v="32"/>
    <x v="0"/>
  </r>
  <r>
    <s v="E1994"/>
    <s v="Adi Nugroho"/>
    <x v="0"/>
    <x v="1"/>
    <d v="2018-12-06T00:00:00"/>
    <s v="Islam"/>
    <s v="M"/>
    <s v="SEMARANG"/>
    <d v="1992-11-05T00:00:00"/>
    <n v="0.65"/>
    <n v="33"/>
    <x v="0"/>
  </r>
  <r>
    <s v="N0795"/>
    <s v="Dolly Martin"/>
    <x v="0"/>
    <x v="0"/>
    <d v="2000-03-13T00:00:00"/>
    <s v="Islam"/>
    <s v="M"/>
    <s v="TANJUNG KARANG"/>
    <d v="1977-03-06T00:00:00"/>
    <n v="0.63"/>
    <n v="48"/>
    <x v="0"/>
  </r>
  <r>
    <s v="N1708"/>
    <s v="Wulan Indriani"/>
    <x v="0"/>
    <x v="0"/>
    <d v="2017-07-03T00:00:00"/>
    <s v="Islam"/>
    <s v="F"/>
    <s v="JAKARTA"/>
    <d v="1987-12-01T00:00:00"/>
    <n v="0.8"/>
    <n v="38"/>
    <x v="0"/>
  </r>
  <r>
    <s v="E2071"/>
    <s v="Rina Nurhayati"/>
    <x v="0"/>
    <x v="1"/>
    <d v="2019-06-11T00:00:00"/>
    <s v="Islam"/>
    <s v="F"/>
    <s v="JAKARTA"/>
    <d v="1994-02-05T00:00:00"/>
    <n v="0.81"/>
    <n v="31"/>
    <x v="0"/>
  </r>
  <r>
    <s v="E1049"/>
    <s v="Raina Aryani"/>
    <x v="0"/>
    <x v="1"/>
    <d v="2008-10-20T00:00:00"/>
    <s v="Islam"/>
    <s v="F"/>
    <s v="JAKARTA"/>
    <d v="1985-08-28T00:00:00"/>
    <n v="0.74"/>
    <n v="40"/>
    <x v="0"/>
  </r>
  <r>
    <s v="E1227"/>
    <s v="Tari Anggraini"/>
    <x v="0"/>
    <x v="1"/>
    <d v="2015-03-02T00:00:00"/>
    <s v="Islam"/>
    <s v="F"/>
    <s v="JAKARTA"/>
    <d v="1989-10-28T00:00:00"/>
    <n v="1"/>
    <n v="36"/>
    <x v="0"/>
  </r>
  <r>
    <s v="E1138"/>
    <s v="Karen Riyanti"/>
    <x v="0"/>
    <x v="1"/>
    <d v="2013-04-01T00:00:00"/>
    <s v="Islam"/>
    <s v="F"/>
    <s v="BANDUNG"/>
    <d v="1985-08-20T00:00:00"/>
    <n v="0.6"/>
    <n v="40"/>
    <x v="0"/>
  </r>
  <r>
    <s v="E0991"/>
    <s v="Titin Aryani"/>
    <x v="0"/>
    <x v="1"/>
    <d v="2007-03-26T00:00:00"/>
    <s v="Islam"/>
    <s v="F"/>
    <s v="SITUBONDO"/>
    <d v="1983-07-15T00:00:00"/>
    <n v="0.67"/>
    <n v="42"/>
    <x v="0"/>
  </r>
  <r>
    <s v="E2585"/>
    <s v="Ilsa Utami"/>
    <x v="0"/>
    <x v="1"/>
    <d v="2022-02-02T00:00:00"/>
    <s v="Islam"/>
    <s v="F"/>
    <s v="SALATIGA"/>
    <d v="1990-10-22T00:00:00"/>
    <n v="0.83"/>
    <n v="35"/>
    <x v="0"/>
  </r>
  <r>
    <s v="N2803"/>
    <s v="Jessica Hariyah"/>
    <x v="0"/>
    <x v="0"/>
    <d v="2022-10-24T00:00:00"/>
    <s v="Islam"/>
    <s v="F"/>
    <s v="CILACAP"/>
    <d v="1998-09-20T00:00:00"/>
    <n v="0.61"/>
    <n v="27"/>
    <x v="0"/>
  </r>
  <r>
    <s v="E0948"/>
    <s v="Almira Hasanah"/>
    <x v="0"/>
    <x v="1"/>
    <d v="2006-06-01T00:00:00"/>
    <s v="Islam"/>
    <s v="F"/>
    <s v="JAKARTA"/>
    <d v="1978-07-20T00:00:00"/>
    <n v="0.64"/>
    <n v="47"/>
    <x v="0"/>
  </r>
  <r>
    <s v="E1863"/>
    <s v="Sari Astuti"/>
    <x v="0"/>
    <x v="1"/>
    <d v="2018-04-26T00:00:00"/>
    <s v="Islam"/>
    <s v="F"/>
    <s v="JAKARTA"/>
    <d v="1986-05-30T00:00:00"/>
    <n v="0.87"/>
    <n v="39"/>
    <x v="0"/>
  </r>
  <r>
    <s v="E2819"/>
    <s v="Aurora Anggraini"/>
    <x v="0"/>
    <x v="1"/>
    <d v="2022-11-21T00:00:00"/>
    <s v="Islam"/>
    <s v="F"/>
    <s v="TULUNGAGUNG"/>
    <d v="1989-10-07T00:00:00"/>
    <n v="1"/>
    <n v="36"/>
    <x v="0"/>
  </r>
  <r>
    <s v="N2549"/>
    <s v="Vivi Andriani"/>
    <x v="0"/>
    <x v="0"/>
    <d v="2021-12-01T00:00:00"/>
    <s v="Islam"/>
    <s v="F"/>
    <s v="JAKARTA"/>
    <d v="1994-10-20T00:00:00"/>
    <n v="0.89"/>
    <n v="31"/>
    <x v="0"/>
  </r>
  <r>
    <s v="N1991"/>
    <s v="Eka Nashiruddin"/>
    <x v="0"/>
    <x v="0"/>
    <d v="2018-11-26T00:00:00"/>
    <s v="Islam"/>
    <s v="F"/>
    <s v="JAKARTA"/>
    <d v="1988-04-09T00:00:00"/>
    <n v="0.82"/>
    <n v="37"/>
    <x v="0"/>
  </r>
  <r>
    <s v="E2082"/>
    <s v="Adiarja Sirait"/>
    <x v="0"/>
    <x v="1"/>
    <d v="2019-07-01T00:00:00"/>
    <s v="Islam"/>
    <s v="M"/>
    <s v="BANDUNG"/>
    <d v="1991-04-07T00:00:00"/>
    <n v="0.76"/>
    <n v="34"/>
    <x v="0"/>
  </r>
  <r>
    <s v="E1989"/>
    <s v="Sidiq Pranowo"/>
    <x v="0"/>
    <x v="1"/>
    <d v="2018-11-12T00:00:00"/>
    <s v="Islam"/>
    <s v="M"/>
    <s v="BEKASI"/>
    <d v="1989-09-08T00:00:00"/>
    <n v="0.94"/>
    <n v="36"/>
    <x v="0"/>
  </r>
  <r>
    <s v="E1987"/>
    <s v="Harsana Budiman"/>
    <x v="0"/>
    <x v="1"/>
    <d v="2018-11-12T00:00:00"/>
    <s v="Islam"/>
    <s v="M"/>
    <s v="BEKASI"/>
    <d v="1989-09-08T00:00:00"/>
    <n v="0.76"/>
    <n v="36"/>
    <x v="0"/>
  </r>
  <r>
    <s v="E2601"/>
    <s v="Galar Halim"/>
    <x v="0"/>
    <x v="1"/>
    <d v="2022-03-21T00:00:00"/>
    <s v="Islam"/>
    <s v="M"/>
    <s v="JAKARTA"/>
    <d v="1994-03-06T00:00:00"/>
    <n v="0.9"/>
    <n v="31"/>
    <x v="0"/>
  </r>
  <r>
    <s v="N1579"/>
    <s v="Kardi Saptono"/>
    <x v="0"/>
    <x v="0"/>
    <d v="2016-08-15T00:00:00"/>
    <s v="Islam"/>
    <s v="M"/>
    <s v="JAKARTA"/>
    <d v="1990-08-02T00:00:00"/>
    <n v="0.63"/>
    <n v="35"/>
    <x v="0"/>
  </r>
  <r>
    <s v="N0867"/>
    <s v="Sabar Situmorang"/>
    <x v="0"/>
    <x v="0"/>
    <d v="2002-12-11T00:00:00"/>
    <s v="Islam"/>
    <s v="M"/>
    <s v="PALEMBANG"/>
    <d v="1979-12-28T00:00:00"/>
    <n v="0.7"/>
    <n v="46"/>
    <x v="0"/>
  </r>
  <r>
    <s v="E2389"/>
    <s v="Dimaz Zulkarnain"/>
    <x v="0"/>
    <x v="1"/>
    <d v="2020-12-07T00:00:00"/>
    <s v="Islam"/>
    <s v="M"/>
    <s v="JAKARTA"/>
    <d v="1992-06-10T00:00:00"/>
    <n v="0.62"/>
    <n v="33"/>
    <x v="0"/>
  </r>
  <r>
    <s v="E1175"/>
    <s v="Balapati Prasetya"/>
    <x v="2"/>
    <x v="1"/>
    <d v="2014-06-02T00:00:00"/>
    <s v="Islam"/>
    <s v="M"/>
    <s v="BANDUNG"/>
    <d v="1975-10-16T00:00:00"/>
    <n v="0.67"/>
    <n v="50"/>
    <x v="1"/>
  </r>
  <r>
    <s v="N1378"/>
    <s v="Eja Widodo"/>
    <x v="0"/>
    <x v="0"/>
    <d v="2016-01-11T00:00:00"/>
    <s v="Islam"/>
    <s v="M"/>
    <s v="BANDUNG"/>
    <d v="1993-05-30T00:00:00"/>
    <n v="0.6"/>
    <n v="32"/>
    <x v="0"/>
  </r>
  <r>
    <s v="E2890"/>
    <s v="Prabu Haryanto"/>
    <x v="0"/>
    <x v="1"/>
    <d v="2023-02-20T00:00:00"/>
    <s v="Islam"/>
    <s v="M"/>
    <s v="PACITAN"/>
    <d v="1994-12-16T00:00:00"/>
    <n v="0.81"/>
    <n v="31"/>
    <x v="0"/>
  </r>
  <r>
    <s v="E0967"/>
    <s v="Cayadi Putra"/>
    <x v="5"/>
    <x v="1"/>
    <d v="2006-10-09T00:00:00"/>
    <s v="Islam"/>
    <s v="M"/>
    <s v="SURABAYA"/>
    <d v="1985-01-13T00:00:00"/>
    <n v="0.6"/>
    <n v="40"/>
    <x v="0"/>
  </r>
  <r>
    <s v="N1660"/>
    <s v="Gambira Pranowo"/>
    <x v="0"/>
    <x v="0"/>
    <d v="2017-02-01T00:00:00"/>
    <s v="Islam"/>
    <s v="M"/>
    <s v="JAKARTA"/>
    <d v="1986-10-16T00:00:00"/>
    <n v="0.83"/>
    <n v="39"/>
    <x v="0"/>
  </r>
  <r>
    <s v="E1806"/>
    <s v="Salman Wasita"/>
    <x v="0"/>
    <x v="1"/>
    <d v="2017-12-18T00:00:00"/>
    <s v="Islam"/>
    <s v="M"/>
    <s v="JAKARTA"/>
    <d v="1990-06-19T00:00:00"/>
    <n v="0.84"/>
    <n v="35"/>
    <x v="0"/>
  </r>
  <r>
    <s v="E1036"/>
    <s v="Wardaya Dongoran"/>
    <x v="2"/>
    <x v="1"/>
    <d v="2008-07-28T00:00:00"/>
    <s v="Islam"/>
    <s v="M"/>
    <s v="JAKARTA"/>
    <d v="1984-11-30T00:00:00"/>
    <n v="0.66"/>
    <n v="41"/>
    <x v="0"/>
  </r>
  <r>
    <s v="N2183"/>
    <s v="Kania Permata"/>
    <x v="0"/>
    <x v="0"/>
    <d v="2020-01-13T00:00:00"/>
    <s v="Islam"/>
    <s v="F"/>
    <s v="TEGAL"/>
    <d v="1998-05-29T00:00:00"/>
    <n v="0.77"/>
    <n v="27"/>
    <x v="0"/>
  </r>
  <r>
    <s v="N1723"/>
    <s v="Eva Yolanda"/>
    <x v="2"/>
    <x v="0"/>
    <d v="2017-07-11T00:00:00"/>
    <s v="Islam"/>
    <s v="F"/>
    <s v="CIMAHI"/>
    <d v="1985-02-11T00:00:00"/>
    <n v="0.79"/>
    <n v="40"/>
    <x v="0"/>
  </r>
  <r>
    <s v="N1583"/>
    <s v="Amalia Yuniar"/>
    <x v="0"/>
    <x v="0"/>
    <d v="2016-08-26T00:00:00"/>
    <s v="Islam"/>
    <s v="F"/>
    <s v="JAKARTA"/>
    <d v="1993-01-15T00:00:00"/>
    <n v="0.64"/>
    <n v="32"/>
    <x v="0"/>
  </r>
  <r>
    <s v="E1512"/>
    <s v="Ade Rahayu"/>
    <x v="0"/>
    <x v="1"/>
    <d v="2016-04-15T00:00:00"/>
    <s v="Islam"/>
    <s v="F"/>
    <s v="MAKASAR"/>
    <d v="1990-03-28T00:00:00"/>
    <n v="0.85"/>
    <n v="35"/>
    <x v="0"/>
  </r>
  <r>
    <s v="E2536"/>
    <s v="Zizi Usada"/>
    <x v="0"/>
    <x v="1"/>
    <d v="2021-11-01T00:00:00"/>
    <s v="Katolik"/>
    <s v="F"/>
    <s v="BEKASI"/>
    <d v="1994-11-08T00:00:00"/>
    <n v="0.87"/>
    <n v="31"/>
    <x v="0"/>
  </r>
  <r>
    <s v="E1062"/>
    <s v="Gaduh Pratama"/>
    <x v="0"/>
    <x v="1"/>
    <d v="2010-07-12T00:00:00"/>
    <s v="Islam"/>
    <s v="M"/>
    <s v="PADANG"/>
    <d v="1982-04-23T00:00:00"/>
    <n v="0.88"/>
    <n v="43"/>
    <x v="0"/>
  </r>
  <r>
    <s v="E1162"/>
    <s v="Laras Nuraini"/>
    <x v="0"/>
    <x v="1"/>
    <d v="2014-04-21T00:00:00"/>
    <s v="Islam"/>
    <s v="F"/>
    <s v="JAKARTA"/>
    <d v="1992-03-10T00:00:00"/>
    <n v="0.8"/>
    <n v="33"/>
    <x v="0"/>
  </r>
  <r>
    <s v="E1182"/>
    <s v="Cinthia Gunawan"/>
    <x v="0"/>
    <x v="1"/>
    <d v="2015-09-01T00:00:00"/>
    <s v="Katolik"/>
    <s v="F"/>
    <s v="TEBING TINGGI"/>
    <d v="1973-11-26T00:00:00"/>
    <n v="0.84"/>
    <n v="52"/>
    <x v="1"/>
  </r>
  <r>
    <s v="E1922"/>
    <s v="Bagiya Sihombing"/>
    <x v="0"/>
    <x v="1"/>
    <d v="2018-08-20T00:00:00"/>
    <s v="Islam"/>
    <s v="F"/>
    <s v="JAKARTA"/>
    <d v="1994-12-02T00:00:00"/>
    <n v="0.97"/>
    <n v="31"/>
    <x v="0"/>
  </r>
  <r>
    <s v="E1735"/>
    <s v="Violet Mentari"/>
    <x v="5"/>
    <x v="1"/>
    <d v="2017-08-14T00:00:00"/>
    <s v="Islam"/>
    <s v="F"/>
    <s v="BANYUWANGI"/>
    <d v="1990-09-07T00:00:00"/>
    <n v="0.78"/>
    <n v="35"/>
    <x v="0"/>
  </r>
  <r>
    <s v="N2168"/>
    <s v="Paiman Firgantoro"/>
    <x v="0"/>
    <x v="0"/>
    <d v="2019-12-09T00:00:00"/>
    <s v="Islam"/>
    <s v="M"/>
    <s v="JAKARTA"/>
    <d v="1988-12-09T00:00:00"/>
    <n v="0.87"/>
    <n v="37"/>
    <x v="0"/>
  </r>
  <r>
    <s v="E1016"/>
    <s v="Ophelia Mustofa"/>
    <x v="1"/>
    <x v="1"/>
    <d v="2008-01-02T00:00:00"/>
    <s v="Islam"/>
    <s v="M"/>
    <s v="MEDAN"/>
    <d v="1982-10-28T00:00:00"/>
    <n v="0.79"/>
    <n v="43"/>
    <x v="0"/>
  </r>
  <r>
    <s v="E2527"/>
    <s v="Darmanto Laksita"/>
    <x v="5"/>
    <x v="1"/>
    <d v="2021-09-20T00:00:00"/>
    <s v="Islam"/>
    <s v="F"/>
    <s v="SURABAYA"/>
    <d v="1993-10-01T00:00:00"/>
    <n v="0.6"/>
    <n v="32"/>
    <x v="0"/>
  </r>
  <r>
    <s v="E1900"/>
    <s v="Kenari Rajasa"/>
    <x v="0"/>
    <x v="1"/>
    <d v="2018-08-01T00:00:00"/>
    <s v="Islam"/>
    <s v="F"/>
    <s v="PEKALONGAN"/>
    <d v="1987-01-22T00:00:00"/>
    <n v="0.74"/>
    <n v="38"/>
    <x v="0"/>
  </r>
  <r>
    <s v="E1909"/>
    <s v="Puti Nadine Prakasa"/>
    <x v="0"/>
    <x v="1"/>
    <d v="2018-08-01T00:00:00"/>
    <s v="Islam"/>
    <s v="F"/>
    <s v="PEKALONGAN"/>
    <d v="1987-01-22T00:00:00"/>
    <n v="0.88"/>
    <n v="38"/>
    <x v="0"/>
  </r>
  <r>
    <s v="N2857"/>
    <s v="Clara Prasetyo"/>
    <x v="0"/>
    <x v="0"/>
    <d v="2022-12-21T00:00:00"/>
    <s v="Islam"/>
    <s v="F"/>
    <s v="BOGOR"/>
    <d v="2000-06-16T00:00:00"/>
    <n v="0.66"/>
    <n v="25"/>
    <x v="0"/>
  </r>
  <r>
    <s v="N2139"/>
    <s v="Nabila Prakasa"/>
    <x v="0"/>
    <x v="0"/>
    <d v="2019-10-21T00:00:00"/>
    <s v="Islam"/>
    <s v="F"/>
    <s v="JAKARTA"/>
    <d v="1996-07-19T00:00:00"/>
    <n v="0.87"/>
    <n v="29"/>
    <x v="0"/>
  </r>
  <r>
    <s v="N1568"/>
    <s v="Sutan Tirtayasa Wasita"/>
    <x v="0"/>
    <x v="0"/>
    <d v="2016-08-01T00:00:00"/>
    <s v="Islam"/>
    <s v="F"/>
    <s v="JAKARTA"/>
    <d v="1994-12-07T00:00:00"/>
    <n v="0.82"/>
    <n v="31"/>
    <x v="0"/>
  </r>
  <r>
    <s v="N1713"/>
    <s v="Sari Winarno"/>
    <x v="0"/>
    <x v="0"/>
    <d v="2017-07-10T00:00:00"/>
    <s v="Islam"/>
    <s v="F"/>
    <s v="JAKARTA"/>
    <d v="1986-02-24T00:00:00"/>
    <n v="0.61"/>
    <n v="39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s v="N1707"/>
    <s v="Dewi Kartini"/>
    <x v="0"/>
    <s v="Kontrak"/>
    <d v="2017-07-04T00:00:00"/>
    <s v="Kristen"/>
    <s v="F"/>
    <s v="JAKARTA PUSAT"/>
    <d v="1987-11-08T00:00:00"/>
    <n v="0.99"/>
    <n v="38"/>
    <x v="0"/>
    <x v="0"/>
  </r>
  <r>
    <s v="N2498"/>
    <s v="Siti Rahayu"/>
    <x v="0"/>
    <s v="Kontrak"/>
    <d v="2021-08-09T00:00:00"/>
    <s v="Islam"/>
    <s v="F"/>
    <s v="BANDUNG"/>
    <d v="1992-04-18T00:00:00"/>
    <n v="0.77"/>
    <n v="33"/>
    <x v="0"/>
    <x v="0"/>
  </r>
  <r>
    <s v="E2513"/>
    <s v="Lina Puspitasari"/>
    <x v="0"/>
    <s v="Karyawan Tetap"/>
    <d v="2021-08-16T00:00:00"/>
    <s v="Islam"/>
    <s v="F"/>
    <s v="BOGOR"/>
    <d v="1995-03-10T00:00:00"/>
    <n v="0.7"/>
    <n v="30"/>
    <x v="0"/>
    <x v="0"/>
  </r>
  <r>
    <s v="N1674"/>
    <s v="Ratna Kusuma"/>
    <x v="0"/>
    <s v="Kontrak"/>
    <d v="2017-03-06T00:00:00"/>
    <s v="Islam"/>
    <s v="F"/>
    <s v="JAKARTA"/>
    <d v="1991-11-27T00:00:00"/>
    <n v="0.6"/>
    <n v="34"/>
    <x v="0"/>
    <x v="1"/>
  </r>
  <r>
    <s v="E2640"/>
    <s v="Chicco Jerikho"/>
    <x v="0"/>
    <s v="Karyawan Tetap"/>
    <d v="2022-06-06T00:00:00"/>
    <s v="Kristen"/>
    <s v="M"/>
    <s v="LAMPUNG"/>
    <d v="1996-05-11T00:00:00"/>
    <n v="0.7"/>
    <n v="29"/>
    <x v="0"/>
    <x v="0"/>
  </r>
  <r>
    <s v="N2016"/>
    <s v="Arifin Sutedjo"/>
    <x v="0"/>
    <s v="Kontrak"/>
    <d v="2019-01-14T00:00:00"/>
    <s v="Islam"/>
    <s v="M"/>
    <s v="JAKARTA"/>
    <d v="1993-12-04T00:00:00"/>
    <n v="0.67"/>
    <n v="32"/>
    <x v="0"/>
    <x v="1"/>
  </r>
  <r>
    <s v="E2054"/>
    <s v="Agus Suharto"/>
    <x v="0"/>
    <s v="Karyawan Tetap"/>
    <d v="2019-04-22T00:00:00"/>
    <s v="Islam"/>
    <s v="M"/>
    <s v="PURBALINGGA"/>
    <d v="1994-09-23T00:00:00"/>
    <n v="0.63"/>
    <n v="31"/>
    <x v="0"/>
    <x v="1"/>
  </r>
  <r>
    <s v="E1881"/>
    <s v="Lita Damayanti"/>
    <x v="0"/>
    <s v="Karyawan Tetap"/>
    <d v="2018-06-25T00:00:00"/>
    <s v="Islam"/>
    <s v="F"/>
    <s v="TANGERANG"/>
    <d v="1993-12-14T00:00:00"/>
    <n v="0.79"/>
    <n v="32"/>
    <x v="0"/>
    <x v="0"/>
  </r>
  <r>
    <s v="E2161"/>
    <s v="Eko Pramono"/>
    <x v="0"/>
    <s v="Karyawan Tetap"/>
    <d v="2019-12-02T00:00:00"/>
    <s v="Islam"/>
    <s v="M"/>
    <s v="JAKARTA"/>
    <d v="1994-04-04T00:00:00"/>
    <n v="0.94"/>
    <n v="31"/>
    <x v="0"/>
    <x v="0"/>
  </r>
  <r>
    <s v="N2031"/>
    <s v="Lina Handayani"/>
    <x v="0"/>
    <s v="Kontrak"/>
    <d v="2019-03-04T00:00:00"/>
    <s v="Islam"/>
    <s v="F"/>
    <s v="BANDUNG"/>
    <d v="1990-11-12T00:00:00"/>
    <n v="0.62"/>
    <n v="35"/>
    <x v="0"/>
    <x v="1"/>
  </r>
  <r>
    <s v="N1173"/>
    <s v="Chicco Kurniawan"/>
    <x v="0"/>
    <s v="Kontrak"/>
    <d v="2014-06-02T00:00:00"/>
    <s v="Islam"/>
    <s v="M"/>
    <s v="JAKARTA"/>
    <d v="1990-03-18T00:00:00"/>
    <n v="0.69"/>
    <n v="35"/>
    <x v="0"/>
    <x v="1"/>
  </r>
  <r>
    <s v="E1005"/>
    <s v="Yanto Setiawan"/>
    <x v="0"/>
    <s v="Karyawan Tetap"/>
    <d v="2007-08-01T00:00:00"/>
    <s v="Islam"/>
    <s v="M"/>
    <s v="TASIKMALAYA"/>
    <d v="1979-03-02T00:00:00"/>
    <n v="0.84"/>
    <n v="46"/>
    <x v="0"/>
    <x v="0"/>
  </r>
  <r>
    <s v="E1063"/>
    <s v="Joko Nugroho"/>
    <x v="0"/>
    <s v="Karyawan Tetap"/>
    <d v="2010-10-01T00:00:00"/>
    <s v="Islam"/>
    <s v="M"/>
    <s v="JAKARTA"/>
    <d v="1985-09-01T00:00:00"/>
    <n v="0.7"/>
    <n v="40"/>
    <x v="0"/>
    <x v="0"/>
  </r>
  <r>
    <s v="E1974"/>
    <s v="Arianto Wibowo"/>
    <x v="1"/>
    <s v="Karyawan Tetap"/>
    <d v="2018-11-01T00:00:00"/>
    <s v="Islam"/>
    <s v="M"/>
    <s v="JAKARTA"/>
    <d v="1989-02-04T00:00:00"/>
    <n v="0.84"/>
    <n v="36"/>
    <x v="0"/>
    <x v="0"/>
  </r>
  <r>
    <s v="E0828"/>
    <s v="Erwin Gutawa"/>
    <x v="0"/>
    <s v="Karyawan Tetap"/>
    <d v="2000-08-01T00:00:00"/>
    <s v="Islam"/>
    <s v="M"/>
    <s v="BATANG"/>
    <d v="1975-03-10T00:00:00"/>
    <n v="0.89"/>
    <n v="50"/>
    <x v="1"/>
    <x v="0"/>
  </r>
  <r>
    <s v="E1054"/>
    <s v="Aliando Syarief"/>
    <x v="0"/>
    <s v="Karyawan Tetap"/>
    <d v="2009-11-09T00:00:00"/>
    <s v="Islam"/>
    <s v="M"/>
    <s v="TANGERANG"/>
    <d v="1984-12-26T00:00:00"/>
    <n v="1"/>
    <n v="41"/>
    <x v="0"/>
    <x v="0"/>
  </r>
  <r>
    <s v="E1703"/>
    <s v="Tuti Rahmawati"/>
    <x v="0"/>
    <s v="Karyawan Tetap"/>
    <d v="2017-06-14T00:00:00"/>
    <s v="Islam"/>
    <s v="F"/>
    <s v="KARANGANYAR"/>
    <d v="1984-07-23T00:00:00"/>
    <n v="0.85"/>
    <n v="41"/>
    <x v="0"/>
    <x v="0"/>
  </r>
  <r>
    <s v="E2840"/>
    <s v="Eko Sutomo"/>
    <x v="0"/>
    <s v="Karyawan Tetap"/>
    <d v="2022-12-05T00:00:00"/>
    <s v="Kristen"/>
    <s v="M"/>
    <s v="TOMOHON"/>
    <d v="1986-06-04T00:00:00"/>
    <n v="0.68"/>
    <n v="39"/>
    <x v="0"/>
    <x v="1"/>
  </r>
  <r>
    <s v="E1861"/>
    <s v="Rina Kurniati"/>
    <x v="0"/>
    <s v="Karyawan Tetap"/>
    <d v="2018-04-16T00:00:00"/>
    <s v="Islam"/>
    <s v="F"/>
    <s v="JAKARTA"/>
    <d v="1994-03-01T00:00:00"/>
    <n v="0.64"/>
    <n v="31"/>
    <x v="0"/>
    <x v="1"/>
  </r>
  <r>
    <s v="N1860"/>
    <s v="Arif Setiawan"/>
    <x v="0"/>
    <s v="Kontrak"/>
    <d v="2018-04-16T00:00:00"/>
    <s v="Islam"/>
    <s v="M"/>
    <s v="JAKARTA"/>
    <d v="1994-03-01T00:00:00"/>
    <n v="0.81"/>
    <n v="31"/>
    <x v="0"/>
    <x v="0"/>
  </r>
  <r>
    <s v="N0951"/>
    <s v="Choky Sitohang"/>
    <x v="0"/>
    <s v="Kontrak"/>
    <d v="2006-07-24T00:00:00"/>
    <s v="Islam"/>
    <s v="M"/>
    <s v="BLITAR"/>
    <d v="1983-02-17T00:00:00"/>
    <n v="0.73"/>
    <n v="42"/>
    <x v="0"/>
    <x v="0"/>
  </r>
  <r>
    <s v="E2575"/>
    <s v="Retno Cahyani"/>
    <x v="0"/>
    <s v="Karyawan Tetap"/>
    <d v="2022-01-10T00:00:00"/>
    <s v="Islam"/>
    <s v="F"/>
    <s v="PALEMBANG"/>
    <d v="1996-10-17T00:00:00"/>
    <n v="0.93"/>
    <n v="29"/>
    <x v="0"/>
    <x v="0"/>
  </r>
  <r>
    <s v="N2619"/>
    <s v="Benyamin Sueb"/>
    <x v="0"/>
    <s v="Kontrak"/>
    <d v="2022-05-10T00:00:00"/>
    <s v="Kristen"/>
    <s v="M"/>
    <s v="JAKARTA"/>
    <d v="1985-01-19T00:00:00"/>
    <n v="0.71"/>
    <n v="40"/>
    <x v="0"/>
    <x v="0"/>
  </r>
  <r>
    <s v="E2321"/>
    <s v="Rudi Haryanto"/>
    <x v="1"/>
    <s v="Karyawan Tetap"/>
    <d v="2020-07-01T00:00:00"/>
    <s v="Islam"/>
    <s v="M"/>
    <s v="JAKARTA"/>
    <d v="1987-03-13T00:00:00"/>
    <n v="0.86"/>
    <n v="38"/>
    <x v="0"/>
    <x v="0"/>
  </r>
  <r>
    <s v="E2620"/>
    <s v="Alvaro Maldini"/>
    <x v="0"/>
    <s v="Karyawan Tetap"/>
    <d v="2022-05-09T00:00:00"/>
    <s v="Islam"/>
    <s v="M"/>
    <s v="KUNINGAN"/>
    <d v="1996-01-16T00:00:00"/>
    <n v="0.89"/>
    <n v="29"/>
    <x v="0"/>
    <x v="0"/>
  </r>
  <r>
    <s v="E1690"/>
    <s v="Wati Sulistiani"/>
    <x v="0"/>
    <s v="Karyawan Tetap"/>
    <d v="2017-05-15T00:00:00"/>
    <s v="Islam"/>
    <s v="F"/>
    <s v="JAKARTA"/>
    <d v="1993-03-24T00:00:00"/>
    <n v="0.98"/>
    <n v="32"/>
    <x v="0"/>
    <x v="0"/>
  </r>
  <r>
    <s v="E1064"/>
    <s v="Budi Santoso"/>
    <x v="0"/>
    <s v="Karyawan Tetap"/>
    <d v="2010-10-01T00:00:00"/>
    <s v="Islam"/>
    <s v="M"/>
    <s v="INDRAMAYU"/>
    <d v="1984-12-03T00:00:00"/>
    <n v="0.97"/>
    <n v="41"/>
    <x v="0"/>
    <x v="0"/>
  </r>
  <r>
    <s v="E1065"/>
    <s v="Indah Wulandari"/>
    <x v="0"/>
    <s v="Karyawan Tetap"/>
    <d v="2010-10-01T00:00:00"/>
    <s v="Islam"/>
    <s v="F"/>
    <s v="MEDAN"/>
    <d v="1979-06-02T00:00:00"/>
    <n v="0.87"/>
    <n v="46"/>
    <x v="0"/>
    <x v="0"/>
  </r>
  <r>
    <s v="E1841"/>
    <s v="Dodit Mulyanto"/>
    <x v="0"/>
    <s v="Karyawan Tetap"/>
    <d v="2018-03-05T00:00:00"/>
    <s v="Islam"/>
    <s v="M"/>
    <s v="JAKARTA"/>
    <d v="1986-11-12T00:00:00"/>
    <n v="0.96"/>
    <n v="39"/>
    <x v="0"/>
    <x v="0"/>
  </r>
  <r>
    <s v="E2867"/>
    <s v="Putri Sari"/>
    <x v="0"/>
    <s v="Karyawan Tetap"/>
    <d v="2023-01-02T00:00:00"/>
    <s v="Islam"/>
    <s v="F"/>
    <s v="TASIKMALAYA"/>
    <d v="1996-08-24T00:00:00"/>
    <n v="0.85"/>
    <n v="29"/>
    <x v="0"/>
    <x v="0"/>
  </r>
  <r>
    <s v="N1720"/>
    <s v="Al Ghazali"/>
    <x v="0"/>
    <s v="Kontrak"/>
    <d v="2017-07-17T00:00:00"/>
    <s v="Islam"/>
    <s v="M"/>
    <s v="TRENGGALEK"/>
    <d v="1988-08-15T00:00:00"/>
    <n v="0.74"/>
    <n v="37"/>
    <x v="0"/>
    <x v="0"/>
  </r>
  <r>
    <s v="E1880"/>
    <s v="Retno Sulistyowati"/>
    <x v="0"/>
    <s v="Karyawan Tetap"/>
    <d v="2018-06-21T00:00:00"/>
    <s v="Islam"/>
    <s v="F"/>
    <s v="BANDUNG"/>
    <d v="1989-02-05T00:00:00"/>
    <n v="0.77"/>
    <n v="36"/>
    <x v="0"/>
    <x v="0"/>
  </r>
  <r>
    <s v="E1929"/>
    <s v="Alvin Adam"/>
    <x v="0"/>
    <s v="Karyawan Tetap"/>
    <d v="2018-09-03T00:00:00"/>
    <s v="Islam"/>
    <s v="M"/>
    <s v="GROBOGAN"/>
    <d v="1995-02-10T00:00:00"/>
    <n v="0.62"/>
    <n v="30"/>
    <x v="0"/>
    <x v="1"/>
  </r>
  <r>
    <s v="E0911"/>
    <s v="Nita Permata"/>
    <x v="2"/>
    <s v="Karyawan Tetap"/>
    <d v="2005-07-01T00:00:00"/>
    <s v="Islam"/>
    <s v="M"/>
    <s v="SIDOARJO"/>
    <d v="1980-09-05T00:00:00"/>
    <n v="0.91"/>
    <n v="45"/>
    <x v="0"/>
    <x v="0"/>
  </r>
  <r>
    <s v="E2170"/>
    <s v="Bertrand Antolin"/>
    <x v="0"/>
    <s v="Karyawan Tetap"/>
    <d v="2019-12-09T00:00:00"/>
    <s v="Islam"/>
    <s v="M"/>
    <s v="JAKARTA"/>
    <d v="1996-03-30T00:00:00"/>
    <n v="0.61"/>
    <n v="29"/>
    <x v="0"/>
    <x v="1"/>
  </r>
  <r>
    <s v="E1111"/>
    <s v="Wulan Puspita"/>
    <x v="0"/>
    <s v="Karyawan Tetap"/>
    <d v="2012-09-17T00:00:00"/>
    <s v="Islam"/>
    <s v="F"/>
    <s v="BANDUNG"/>
    <d v="1985-10-14T00:00:00"/>
    <n v="0.84"/>
    <n v="40"/>
    <x v="0"/>
    <x v="0"/>
  </r>
  <r>
    <s v="E1081"/>
    <s v="Maya Wati"/>
    <x v="0"/>
    <s v="Karyawan Tetap"/>
    <d v="2012-01-02T00:00:00"/>
    <s v="Islam"/>
    <s v="F"/>
    <s v="TAMAN SARI"/>
    <d v="1989-04-20T00:00:00"/>
    <n v="0.76"/>
    <n v="36"/>
    <x v="0"/>
    <x v="0"/>
  </r>
  <r>
    <s v="E2134"/>
    <s v="Aaron Ashab"/>
    <x v="0"/>
    <s v="Karyawan Tetap"/>
    <d v="2019-10-10T00:00:00"/>
    <s v="Islam"/>
    <s v="M"/>
    <s v="PADANG"/>
    <d v="1990-07-07T00:00:00"/>
    <n v="0.89"/>
    <n v="35"/>
    <x v="0"/>
    <x v="0"/>
  </r>
  <r>
    <s v="N2584"/>
    <s v="Surya Permana"/>
    <x v="3"/>
    <s v="Kontrak"/>
    <d v="2022-02-02T00:00:00"/>
    <s v="Islam"/>
    <s v="M"/>
    <s v="MALANG"/>
    <d v="1991-07-07T00:00:00"/>
    <n v="0.73"/>
    <n v="34"/>
    <x v="0"/>
    <x v="0"/>
  </r>
  <r>
    <s v="N2583"/>
    <s v="Retno Purnomo"/>
    <x v="3"/>
    <s v="Kontrak"/>
    <d v="2022-02-02T00:00:00"/>
    <s v="Islam"/>
    <s v="F"/>
    <s v="MALANG"/>
    <d v="1991-07-07T00:00:00"/>
    <n v="0.8"/>
    <n v="34"/>
    <x v="0"/>
    <x v="0"/>
  </r>
  <r>
    <s v="N1453"/>
    <s v="Joko Susanto"/>
    <x v="0"/>
    <s v="Kontrak"/>
    <d v="2016-02-01T00:00:00"/>
    <s v="Islam"/>
    <s v="M"/>
    <s v="BANYUWANGI"/>
    <d v="1980-02-25T00:00:00"/>
    <n v="0.73"/>
    <n v="45"/>
    <x v="0"/>
    <x v="0"/>
  </r>
  <r>
    <s v="E1491"/>
    <s v="Donny Alamsyah"/>
    <x v="0"/>
    <s v="Karyawan Tetap"/>
    <d v="2016-02-10T00:00:00"/>
    <s v="Islam"/>
    <s v="M"/>
    <s v="JAKARTA"/>
    <d v="1989-03-16T00:00:00"/>
    <n v="0.84"/>
    <n v="36"/>
    <x v="0"/>
    <x v="0"/>
  </r>
  <r>
    <s v="E1490"/>
    <s v="Nia Fitriani"/>
    <x v="0"/>
    <s v="Karyawan Tetap"/>
    <d v="2016-02-10T00:00:00"/>
    <s v="Islam"/>
    <s v="F"/>
    <s v="JAKARTA"/>
    <d v="1989-03-16T00:00:00"/>
    <n v="1"/>
    <n v="36"/>
    <x v="0"/>
    <x v="0"/>
  </r>
  <r>
    <s v="E2201"/>
    <s v="Astuti Hartati"/>
    <x v="0"/>
    <s v="Karyawan Tetap"/>
    <d v="2020-01-20T00:00:00"/>
    <s v="Islam"/>
    <s v="F"/>
    <s v="BANDUNG"/>
    <d v="1992-08-21T00:00:00"/>
    <n v="0.86"/>
    <n v="33"/>
    <x v="0"/>
    <x v="0"/>
  </r>
  <r>
    <s v="N1134"/>
    <s v="Rizal Prasetya"/>
    <x v="4"/>
    <s v="Kontrak"/>
    <d v="2013-02-18T00:00:00"/>
    <s v="Islam"/>
    <s v="M"/>
    <s v="JEMBER"/>
    <d v="1986-04-10T00:00:00"/>
    <n v="0.76"/>
    <n v="39"/>
    <x v="0"/>
    <x v="0"/>
  </r>
  <r>
    <s v="N1068"/>
    <s v="Nita Wulandari"/>
    <x v="0"/>
    <s v="Kontrak"/>
    <d v="2011-04-11T00:00:00"/>
    <s v="Islam"/>
    <s v="F"/>
    <s v="SRAGEN"/>
    <d v="1987-03-13T00:00:00"/>
    <n v="0.95"/>
    <n v="38"/>
    <x v="0"/>
    <x v="0"/>
  </r>
  <r>
    <s v="E0896"/>
    <s v="Esa Sigit"/>
    <x v="0"/>
    <s v="Karyawan Tetap"/>
    <d v="2004-05-10T00:00:00"/>
    <s v="Islam"/>
    <s v="M"/>
    <s v="JAKARTA"/>
    <d v="1975-08-09T00:00:00"/>
    <n v="0.73"/>
    <n v="50"/>
    <x v="1"/>
    <x v="0"/>
  </r>
  <r>
    <s v="E0931"/>
    <s v="Rika Sari"/>
    <x v="0"/>
    <s v="Karyawan Tetap"/>
    <d v="2006-05-01T00:00:00"/>
    <s v="Islam"/>
    <s v="M"/>
    <s v="JAKARTA"/>
    <d v="1979-02-16T00:00:00"/>
    <n v="0.87"/>
    <n v="46"/>
    <x v="0"/>
    <x v="0"/>
  </r>
  <r>
    <s v="E0813"/>
    <s v="Winda Pertiwi"/>
    <x v="0"/>
    <s v="Karyawan Tetap"/>
    <d v="2000-06-01T00:00:00"/>
    <s v="Islam"/>
    <s v="F"/>
    <s v="JAKARTA"/>
    <d v="1971-11-01T00:00:00"/>
    <n v="0.71"/>
    <n v="54"/>
    <x v="1"/>
    <x v="0"/>
  </r>
  <r>
    <s v="E3144"/>
    <s v="Agus Santoso"/>
    <x v="0"/>
    <s v="Karyawan Tetap"/>
    <d v="2024-03-01T00:00:00"/>
    <s v="Islam"/>
    <s v="M"/>
    <s v="JAKARTA"/>
    <d v="1995-02-15T00:00:00"/>
    <n v="0.66"/>
    <n v="30"/>
    <x v="0"/>
    <x v="1"/>
  </r>
  <r>
    <s v="E3143"/>
    <s v="Rudi Prasetya"/>
    <x v="0"/>
    <s v="Karyawan Tetap"/>
    <d v="2024-03-01T00:00:00"/>
    <s v="Islam"/>
    <s v="M"/>
    <s v="JAKARTA"/>
    <d v="1995-02-15T00:00:00"/>
    <n v="0.88"/>
    <n v="30"/>
    <x v="0"/>
    <x v="0"/>
  </r>
  <r>
    <s v="N2114"/>
    <s v="Dedy Santoso"/>
    <x v="0"/>
    <s v="Kontrak"/>
    <d v="2019-09-02T00:00:00"/>
    <s v="Islam"/>
    <s v="M"/>
    <s v="CILACAP"/>
    <d v="1993-08-28T00:00:00"/>
    <n v="0.91"/>
    <n v="32"/>
    <x v="0"/>
    <x v="0"/>
  </r>
  <r>
    <s v="E1885"/>
    <s v="Bagus Satria"/>
    <x v="1"/>
    <s v="Karyawan Tetap"/>
    <d v="2018-07-02T00:00:00"/>
    <s v="Islam"/>
    <s v="M"/>
    <s v="SUMATRA UTARA"/>
    <d v="1992-07-05T00:00:00"/>
    <n v="0.79"/>
    <n v="33"/>
    <x v="0"/>
    <x v="0"/>
  </r>
  <r>
    <s v="E2898"/>
    <s v="Ahmad Hidayat"/>
    <x v="0"/>
    <s v="Karyawan Tetap"/>
    <d v="2023-03-20T00:00:00"/>
    <s v="Islam"/>
    <s v="M"/>
    <s v="JAKARTA"/>
    <d v="1996-10-13T00:00:00"/>
    <n v="0.76"/>
    <n v="29"/>
    <x v="0"/>
    <x v="0"/>
  </r>
  <r>
    <s v="N1565"/>
    <s v="Sigit Saputra"/>
    <x v="0"/>
    <s v="Kontrak"/>
    <d v="2016-08-01T00:00:00"/>
    <s v="Islam"/>
    <s v="M"/>
    <s v="JAKARTA"/>
    <d v="1978-10-31T00:00:00"/>
    <n v="0.71"/>
    <n v="47"/>
    <x v="0"/>
    <x v="0"/>
  </r>
  <r>
    <s v="N2378"/>
    <s v="Agus Nugroho"/>
    <x v="0"/>
    <s v="Kontrak"/>
    <d v="2020-10-19T00:00:00"/>
    <s v="Islam"/>
    <s v="M"/>
    <s v="JOMBANG"/>
    <d v="1996-08-03T00:00:00"/>
    <n v="0.75"/>
    <n v="29"/>
    <x v="0"/>
    <x v="0"/>
  </r>
  <r>
    <s v="N1191"/>
    <s v="Joko Sutrisno"/>
    <x v="0"/>
    <s v="Kontrak"/>
    <d v="2014-11-01T00:00:00"/>
    <s v="Islam"/>
    <s v="M"/>
    <s v="BOGOR"/>
    <d v="1985-11-26T00:00:00"/>
    <n v="0.81"/>
    <n v="40"/>
    <x v="0"/>
    <x v="0"/>
  </r>
  <r>
    <s v="E1601"/>
    <s v="Iwan Prasetyo"/>
    <x v="0"/>
    <s v="Karyawan Tetap"/>
    <d v="2016-12-01T00:00:00"/>
    <s v="Islam"/>
    <s v="M"/>
    <s v="GRESIK"/>
    <d v="1988-03-26T00:00:00"/>
    <n v="1"/>
    <n v="37"/>
    <x v="0"/>
    <x v="0"/>
  </r>
  <r>
    <s v="E3140"/>
    <s v="Dodi Nugraha"/>
    <x v="0"/>
    <s v="Karyawan Tetap"/>
    <d v="2024-03-01T00:00:00"/>
    <s v="Islam"/>
    <s v="M"/>
    <s v="JAKARTA"/>
    <d v="1994-12-19T00:00:00"/>
    <n v="0.91"/>
    <n v="31"/>
    <x v="0"/>
    <x v="0"/>
  </r>
  <r>
    <s v="E3142"/>
    <s v="Rika Sari"/>
    <x v="0"/>
    <s v="Karyawan Tetap"/>
    <d v="2024-03-01T00:00:00"/>
    <s v="Islam"/>
    <s v="F"/>
    <s v="JAKARTA"/>
    <d v="1994-12-19T00:00:00"/>
    <n v="0.62"/>
    <n v="31"/>
    <x v="0"/>
    <x v="1"/>
  </r>
  <r>
    <s v="E1604"/>
    <s v="Dian Purnama"/>
    <x v="0"/>
    <s v="Karyawan Tetap"/>
    <d v="2016-12-13T00:00:00"/>
    <s v="Islam"/>
    <s v="F"/>
    <s v="TUAL"/>
    <d v="1988-02-18T00:00:00"/>
    <n v="0.72"/>
    <n v="37"/>
    <x v="0"/>
    <x v="0"/>
  </r>
  <r>
    <s v="E0892"/>
    <s v="Ernest Prakasa"/>
    <x v="0"/>
    <s v="Karyawan Tetap"/>
    <d v="2004-03-11T00:00:00"/>
    <s v="Islam"/>
    <s v="M"/>
    <s v="JAKARTA"/>
    <d v="1976-11-03T00:00:00"/>
    <n v="0.77"/>
    <n v="49"/>
    <x v="0"/>
    <x v="0"/>
  </r>
  <r>
    <s v="E1109"/>
    <s v="Yudi Susilo"/>
    <x v="0"/>
    <s v="Karyawan Tetap"/>
    <d v="2012-09-10T00:00:00"/>
    <s v="Islam"/>
    <s v="M"/>
    <s v="KARANGANYAR"/>
    <d v="1990-04-21T00:00:00"/>
    <n v="0.65"/>
    <n v="35"/>
    <x v="0"/>
    <x v="1"/>
  </r>
  <r>
    <s v="E2885"/>
    <s v="Retno Purnomo"/>
    <x v="0"/>
    <s v="Karyawan Tetap"/>
    <d v="2023-02-01T00:00:00"/>
    <s v="Islam"/>
    <s v="M"/>
    <s v="INDRAMAYU"/>
    <d v="1986-07-10T00:00:00"/>
    <n v="0.78"/>
    <n v="39"/>
    <x v="0"/>
    <x v="0"/>
  </r>
  <r>
    <s v="E1456"/>
    <s v="Rudi Hartono"/>
    <x v="0"/>
    <s v="Karyawan Tetap"/>
    <d v="2016-02-01T00:00:00"/>
    <s v="Islam"/>
    <s v="M"/>
    <s v="TANGERANG"/>
    <d v="1971-10-30T00:00:00"/>
    <n v="0.71"/>
    <n v="54"/>
    <x v="1"/>
    <x v="0"/>
  </r>
  <r>
    <s v="E1393"/>
    <s v="Rani Kartika"/>
    <x v="0"/>
    <s v="Karyawan Tetap"/>
    <d v="2016-02-01T00:00:00"/>
    <s v="Islam"/>
    <s v="F"/>
    <s v="TULUNGAGUNG"/>
    <d v="1986-01-08T00:00:00"/>
    <n v="0.63"/>
    <n v="39"/>
    <x v="0"/>
    <x v="1"/>
  </r>
  <r>
    <s v="E2322"/>
    <s v="Hadi Nugroho"/>
    <x v="0"/>
    <s v="Karyawan Tetap"/>
    <d v="2020-07-01T00:00:00"/>
    <s v="Islam"/>
    <s v="M"/>
    <s v="JAKARTA"/>
    <d v="1993-01-16T00:00:00"/>
    <n v="0.72"/>
    <n v="32"/>
    <x v="0"/>
    <x v="0"/>
  </r>
  <r>
    <s v="E0806"/>
    <s v="Rina Dewi"/>
    <x v="0"/>
    <s v="Karyawan Tetap"/>
    <d v="2000-05-01T00:00:00"/>
    <s v="Islam"/>
    <s v="F"/>
    <s v="BANDUNG"/>
    <d v="1970-05-29T00:00:00"/>
    <n v="0.91"/>
    <n v="55"/>
    <x v="1"/>
    <x v="0"/>
  </r>
  <r>
    <s v="E1866"/>
    <s v="Agung Prasetyo"/>
    <x v="0"/>
    <s v="Karyawan Tetap"/>
    <d v="2018-05-07T00:00:00"/>
    <s v="Islam"/>
    <s v="M"/>
    <s v="JAKARTA"/>
    <d v="1993-12-11T00:00:00"/>
    <n v="0.66"/>
    <n v="32"/>
    <x v="0"/>
    <x v="1"/>
  </r>
  <r>
    <s v="E2600"/>
    <s v="Sari Wulandari"/>
    <x v="0"/>
    <s v="Karyawan Tetap"/>
    <d v="2022-03-21T00:00:00"/>
    <s v="Islam"/>
    <s v="F"/>
    <s v="DI YOGYAKARTA"/>
    <d v="1995-07-16T00:00:00"/>
    <n v="0.88"/>
    <n v="30"/>
    <x v="0"/>
    <x v="0"/>
  </r>
  <r>
    <s v="E0956"/>
    <s v="Wahyu Prasetyo"/>
    <x v="0"/>
    <s v="Karyawan Tetap"/>
    <d v="2006-08-01T00:00:00"/>
    <s v="Islam"/>
    <s v="M"/>
    <s v="BANDUNG"/>
    <d v="1979-09-03T00:00:00"/>
    <n v="0.96"/>
    <n v="46"/>
    <x v="0"/>
    <x v="0"/>
  </r>
  <r>
    <s v="N2070"/>
    <s v="Bhisma Mulia"/>
    <x v="0"/>
    <s v="Kontrak"/>
    <d v="2019-06-10T00:00:00"/>
    <s v="Islam"/>
    <s v="M"/>
    <s v="PURWOKERTO"/>
    <d v="1994-03-18T00:00:00"/>
    <n v="0.82"/>
    <n v="31"/>
    <x v="0"/>
    <x v="0"/>
  </r>
  <r>
    <s v="N2777"/>
    <s v="Mega Fitri"/>
    <x v="0"/>
    <s v="Kontrak"/>
    <d v="2022-09-05T00:00:00"/>
    <s v="Islam"/>
    <s v="F"/>
    <s v="BOGOR"/>
    <d v="1997-08-29T00:00:00"/>
    <n v="0.68"/>
    <n v="28"/>
    <x v="0"/>
    <x v="1"/>
  </r>
  <r>
    <s v="E1718"/>
    <s v="Bambang Wijaya"/>
    <x v="0"/>
    <s v="Karyawan Tetap"/>
    <d v="2017-07-17T00:00:00"/>
    <s v="Islam"/>
    <s v="M"/>
    <s v="JAKARTA"/>
    <d v="1993-10-07T00:00:00"/>
    <n v="0.83"/>
    <n v="32"/>
    <x v="0"/>
    <x v="0"/>
  </r>
  <r>
    <s v="E1719"/>
    <s v="Maya Lestari"/>
    <x v="0"/>
    <s v="Karyawan Tetap"/>
    <d v="2017-07-17T00:00:00"/>
    <s v="Islam"/>
    <s v="F"/>
    <s v="JAKARTA"/>
    <d v="1993-10-07T00:00:00"/>
    <n v="0.66"/>
    <n v="32"/>
    <x v="0"/>
    <x v="1"/>
  </r>
  <r>
    <s v="E1994"/>
    <s v="Adi Nugroho"/>
    <x v="0"/>
    <s v="Karyawan Tetap"/>
    <d v="2018-12-06T00:00:00"/>
    <s v="Islam"/>
    <s v="M"/>
    <s v="SEMARANG"/>
    <d v="1992-11-05T00:00:00"/>
    <n v="0.65"/>
    <n v="33"/>
    <x v="0"/>
    <x v="1"/>
  </r>
  <r>
    <s v="N0795"/>
    <s v="Dolly Martin"/>
    <x v="0"/>
    <s v="Kontrak"/>
    <d v="2000-03-13T00:00:00"/>
    <s v="Islam"/>
    <s v="M"/>
    <s v="TANJUNG KARANG"/>
    <d v="1977-03-06T00:00:00"/>
    <n v="0.63"/>
    <n v="48"/>
    <x v="0"/>
    <x v="1"/>
  </r>
  <r>
    <s v="N1708"/>
    <s v="Wulan Indriani"/>
    <x v="0"/>
    <s v="Kontrak"/>
    <d v="2017-07-03T00:00:00"/>
    <s v="Islam"/>
    <s v="F"/>
    <s v="JAKARTA"/>
    <d v="1987-12-01T00:00:00"/>
    <n v="0.8"/>
    <n v="38"/>
    <x v="0"/>
    <x v="0"/>
  </r>
  <r>
    <s v="E2071"/>
    <s v="Rina Nurhayati"/>
    <x v="0"/>
    <s v="Karyawan Tetap"/>
    <d v="2019-06-11T00:00:00"/>
    <s v="Islam"/>
    <s v="F"/>
    <s v="JAKARTA"/>
    <d v="1994-02-05T00:00:00"/>
    <n v="0.81"/>
    <n v="31"/>
    <x v="0"/>
    <x v="0"/>
  </r>
  <r>
    <s v="E1049"/>
    <s v="Raina Aryani"/>
    <x v="0"/>
    <s v="Karyawan Tetap"/>
    <d v="2008-10-20T00:00:00"/>
    <s v="Islam"/>
    <s v="F"/>
    <s v="JAKARTA"/>
    <d v="1985-08-28T00:00:00"/>
    <n v="0.74"/>
    <n v="40"/>
    <x v="0"/>
    <x v="0"/>
  </r>
  <r>
    <s v="E1227"/>
    <s v="Tari Anggraini"/>
    <x v="0"/>
    <s v="Karyawan Tetap"/>
    <d v="2015-03-02T00:00:00"/>
    <s v="Islam"/>
    <s v="F"/>
    <s v="JAKARTA"/>
    <d v="1989-10-28T00:00:00"/>
    <n v="1"/>
    <n v="36"/>
    <x v="0"/>
    <x v="0"/>
  </r>
  <r>
    <s v="E1138"/>
    <s v="Karen Riyanti"/>
    <x v="0"/>
    <s v="Karyawan Tetap"/>
    <d v="2013-04-01T00:00:00"/>
    <s v="Islam"/>
    <s v="F"/>
    <s v="BANDUNG"/>
    <d v="1985-08-20T00:00:00"/>
    <n v="0.6"/>
    <n v="40"/>
    <x v="0"/>
    <x v="1"/>
  </r>
  <r>
    <s v="E0991"/>
    <s v="Titin Aryani"/>
    <x v="0"/>
    <s v="Karyawan Tetap"/>
    <d v="2007-03-26T00:00:00"/>
    <s v="Islam"/>
    <s v="F"/>
    <s v="SITUBONDO"/>
    <d v="1983-07-15T00:00:00"/>
    <n v="0.67"/>
    <n v="42"/>
    <x v="0"/>
    <x v="1"/>
  </r>
  <r>
    <s v="E2585"/>
    <s v="Ilsa Utami"/>
    <x v="0"/>
    <s v="Karyawan Tetap"/>
    <d v="2022-02-02T00:00:00"/>
    <s v="Islam"/>
    <s v="F"/>
    <s v="SALATIGA"/>
    <d v="1990-10-22T00:00:00"/>
    <n v="0.83"/>
    <n v="35"/>
    <x v="0"/>
    <x v="0"/>
  </r>
  <r>
    <s v="N2803"/>
    <s v="Jessica Hariyah"/>
    <x v="0"/>
    <s v="Kontrak"/>
    <d v="2022-10-24T00:00:00"/>
    <s v="Islam"/>
    <s v="F"/>
    <s v="CILACAP"/>
    <d v="1998-09-20T00:00:00"/>
    <n v="0.61"/>
    <n v="27"/>
    <x v="0"/>
    <x v="1"/>
  </r>
  <r>
    <s v="E0948"/>
    <s v="Almira Hasanah"/>
    <x v="0"/>
    <s v="Karyawan Tetap"/>
    <d v="2006-06-01T00:00:00"/>
    <s v="Islam"/>
    <s v="F"/>
    <s v="JAKARTA"/>
    <d v="1978-07-20T00:00:00"/>
    <n v="0.64"/>
    <n v="47"/>
    <x v="0"/>
    <x v="1"/>
  </r>
  <r>
    <s v="E1863"/>
    <s v="Sari Astuti"/>
    <x v="0"/>
    <s v="Karyawan Tetap"/>
    <d v="2018-04-26T00:00:00"/>
    <s v="Islam"/>
    <s v="F"/>
    <s v="JAKARTA"/>
    <d v="1986-05-30T00:00:00"/>
    <n v="0.87"/>
    <n v="39"/>
    <x v="0"/>
    <x v="0"/>
  </r>
  <r>
    <s v="E2819"/>
    <s v="Aurora Anggraini"/>
    <x v="0"/>
    <s v="Karyawan Tetap"/>
    <d v="2022-11-21T00:00:00"/>
    <s v="Islam"/>
    <s v="F"/>
    <s v="TULUNGAGUNG"/>
    <d v="1989-10-07T00:00:00"/>
    <n v="1"/>
    <n v="36"/>
    <x v="0"/>
    <x v="0"/>
  </r>
  <r>
    <s v="N2549"/>
    <s v="Vivi Andriani"/>
    <x v="0"/>
    <s v="Kontrak"/>
    <d v="2021-12-01T00:00:00"/>
    <s v="Islam"/>
    <s v="F"/>
    <s v="JAKARTA"/>
    <d v="1994-10-20T00:00:00"/>
    <n v="0.89"/>
    <n v="31"/>
    <x v="0"/>
    <x v="0"/>
  </r>
  <r>
    <s v="N1991"/>
    <s v="Eka Nashiruddin"/>
    <x v="0"/>
    <s v="Kontrak"/>
    <d v="2018-11-26T00:00:00"/>
    <s v="Islam"/>
    <s v="F"/>
    <s v="JAKARTA"/>
    <d v="1988-04-09T00:00:00"/>
    <n v="0.82"/>
    <n v="37"/>
    <x v="0"/>
    <x v="0"/>
  </r>
  <r>
    <s v="E2082"/>
    <s v="Adiarja Sirait"/>
    <x v="0"/>
    <s v="Karyawan Tetap"/>
    <d v="2019-07-01T00:00:00"/>
    <s v="Islam"/>
    <s v="M"/>
    <s v="BANDUNG"/>
    <d v="1991-04-07T00:00:00"/>
    <n v="0.76"/>
    <n v="34"/>
    <x v="0"/>
    <x v="0"/>
  </r>
  <r>
    <s v="E1989"/>
    <s v="Sidiq Pranowo"/>
    <x v="0"/>
    <s v="Karyawan Tetap"/>
    <d v="2018-11-12T00:00:00"/>
    <s v="Islam"/>
    <s v="M"/>
    <s v="BEKASI"/>
    <d v="1989-09-08T00:00:00"/>
    <n v="0.94"/>
    <n v="36"/>
    <x v="0"/>
    <x v="0"/>
  </r>
  <r>
    <s v="E1987"/>
    <s v="Harsana Budiman"/>
    <x v="0"/>
    <s v="Karyawan Tetap"/>
    <d v="2018-11-12T00:00:00"/>
    <s v="Islam"/>
    <s v="M"/>
    <s v="BEKASI"/>
    <d v="1989-09-08T00:00:00"/>
    <n v="0.76"/>
    <n v="36"/>
    <x v="0"/>
    <x v="0"/>
  </r>
  <r>
    <s v="E2601"/>
    <s v="Galar Halim"/>
    <x v="0"/>
    <s v="Karyawan Tetap"/>
    <d v="2022-03-21T00:00:00"/>
    <s v="Islam"/>
    <s v="M"/>
    <s v="JAKARTA"/>
    <d v="1994-03-06T00:00:00"/>
    <n v="0.9"/>
    <n v="31"/>
    <x v="0"/>
    <x v="0"/>
  </r>
  <r>
    <s v="N1579"/>
    <s v="Kardi Saptono"/>
    <x v="0"/>
    <s v="Kontrak"/>
    <d v="2016-08-15T00:00:00"/>
    <s v="Islam"/>
    <s v="M"/>
    <s v="JAKARTA"/>
    <d v="1990-08-02T00:00:00"/>
    <n v="0.63"/>
    <n v="35"/>
    <x v="0"/>
    <x v="1"/>
  </r>
  <r>
    <s v="N0867"/>
    <s v="Sabar Situmorang"/>
    <x v="0"/>
    <s v="Kontrak"/>
    <d v="2002-12-11T00:00:00"/>
    <s v="Islam"/>
    <s v="M"/>
    <s v="PALEMBANG"/>
    <d v="1979-12-28T00:00:00"/>
    <n v="0.7"/>
    <n v="46"/>
    <x v="0"/>
    <x v="0"/>
  </r>
  <r>
    <s v="E2389"/>
    <s v="Dimaz Zulkarnain"/>
    <x v="0"/>
    <s v="Karyawan Tetap"/>
    <d v="2020-12-07T00:00:00"/>
    <s v="Islam"/>
    <s v="M"/>
    <s v="JAKARTA"/>
    <d v="1992-06-10T00:00:00"/>
    <n v="0.62"/>
    <n v="33"/>
    <x v="0"/>
    <x v="1"/>
  </r>
  <r>
    <s v="E1175"/>
    <s v="Balapati Prasetya"/>
    <x v="2"/>
    <s v="Karyawan Tetap"/>
    <d v="2014-06-02T00:00:00"/>
    <s v="Islam"/>
    <s v="M"/>
    <s v="BANDUNG"/>
    <d v="1975-10-16T00:00:00"/>
    <n v="0.67"/>
    <n v="50"/>
    <x v="1"/>
    <x v="1"/>
  </r>
  <r>
    <s v="N1378"/>
    <s v="Eja Widodo"/>
    <x v="0"/>
    <s v="Kontrak"/>
    <d v="2016-01-11T00:00:00"/>
    <s v="Islam"/>
    <s v="M"/>
    <s v="BANDUNG"/>
    <d v="1993-05-30T00:00:00"/>
    <n v="0.6"/>
    <n v="32"/>
    <x v="0"/>
    <x v="1"/>
  </r>
  <r>
    <s v="E2890"/>
    <s v="Prabu Haryanto"/>
    <x v="0"/>
    <s v="Karyawan Tetap"/>
    <d v="2023-02-20T00:00:00"/>
    <s v="Islam"/>
    <s v="M"/>
    <s v="PACITAN"/>
    <d v="1994-12-16T00:00:00"/>
    <n v="0.81"/>
    <n v="31"/>
    <x v="0"/>
    <x v="0"/>
  </r>
  <r>
    <s v="E0967"/>
    <s v="Cayadi Putra"/>
    <x v="5"/>
    <s v="Karyawan Tetap"/>
    <d v="2006-10-09T00:00:00"/>
    <s v="Islam"/>
    <s v="M"/>
    <s v="SURABAYA"/>
    <d v="1985-01-13T00:00:00"/>
    <n v="0.6"/>
    <n v="40"/>
    <x v="0"/>
    <x v="1"/>
  </r>
  <r>
    <s v="N1660"/>
    <s v="Gambira Pranowo"/>
    <x v="0"/>
    <s v="Kontrak"/>
    <d v="2017-02-01T00:00:00"/>
    <s v="Islam"/>
    <s v="M"/>
    <s v="JAKARTA"/>
    <d v="1986-10-16T00:00:00"/>
    <n v="0.83"/>
    <n v="39"/>
    <x v="0"/>
    <x v="0"/>
  </r>
  <r>
    <s v="E1806"/>
    <s v="Salman Wasita"/>
    <x v="0"/>
    <s v="Karyawan Tetap"/>
    <d v="2017-12-18T00:00:00"/>
    <s v="Islam"/>
    <s v="M"/>
    <s v="JAKARTA"/>
    <d v="1990-06-19T00:00:00"/>
    <n v="0.84"/>
    <n v="35"/>
    <x v="0"/>
    <x v="0"/>
  </r>
  <r>
    <s v="E1036"/>
    <s v="Wardaya Dongoran"/>
    <x v="2"/>
    <s v="Karyawan Tetap"/>
    <d v="2008-07-28T00:00:00"/>
    <s v="Islam"/>
    <s v="M"/>
    <s v="JAKARTA"/>
    <d v="1984-11-30T00:00:00"/>
    <n v="0.66"/>
    <n v="41"/>
    <x v="0"/>
    <x v="1"/>
  </r>
  <r>
    <s v="N2183"/>
    <s v="Kania Permata"/>
    <x v="0"/>
    <s v="Kontrak"/>
    <d v="2020-01-13T00:00:00"/>
    <s v="Islam"/>
    <s v="F"/>
    <s v="TEGAL"/>
    <d v="1998-05-29T00:00:00"/>
    <n v="0.77"/>
    <n v="27"/>
    <x v="0"/>
    <x v="0"/>
  </r>
  <r>
    <s v="N1723"/>
    <s v="Eva Yolanda"/>
    <x v="2"/>
    <s v="Kontrak"/>
    <d v="2017-07-11T00:00:00"/>
    <s v="Islam"/>
    <s v="F"/>
    <s v="CIMAHI"/>
    <d v="1985-02-11T00:00:00"/>
    <n v="0.79"/>
    <n v="40"/>
    <x v="0"/>
    <x v="0"/>
  </r>
  <r>
    <s v="N1583"/>
    <s v="Amalia Yuniar"/>
    <x v="0"/>
    <s v="Kontrak"/>
    <d v="2016-08-26T00:00:00"/>
    <s v="Islam"/>
    <s v="F"/>
    <s v="JAKARTA"/>
    <d v="1993-01-15T00:00:00"/>
    <n v="0.64"/>
    <n v="32"/>
    <x v="0"/>
    <x v="1"/>
  </r>
  <r>
    <s v="E1512"/>
    <s v="Ade Rahayu"/>
    <x v="0"/>
    <s v="Karyawan Tetap"/>
    <d v="2016-04-15T00:00:00"/>
    <s v="Islam"/>
    <s v="F"/>
    <s v="MAKASAR"/>
    <d v="1990-03-28T00:00:00"/>
    <n v="0.85"/>
    <n v="35"/>
    <x v="0"/>
    <x v="0"/>
  </r>
  <r>
    <s v="E2536"/>
    <s v="Zizi Usada"/>
    <x v="0"/>
    <s v="Karyawan Tetap"/>
    <d v="2021-11-01T00:00:00"/>
    <s v="Katolik"/>
    <s v="F"/>
    <s v="BEKASI"/>
    <d v="1994-11-08T00:00:00"/>
    <n v="0.87"/>
    <n v="31"/>
    <x v="0"/>
    <x v="0"/>
  </r>
  <r>
    <s v="E1062"/>
    <s v="Gaduh Pratama"/>
    <x v="0"/>
    <s v="Karyawan Tetap"/>
    <d v="2010-07-12T00:00:00"/>
    <s v="Islam"/>
    <s v="M"/>
    <s v="PADANG"/>
    <d v="1982-04-23T00:00:00"/>
    <n v="0.88"/>
    <n v="43"/>
    <x v="0"/>
    <x v="0"/>
  </r>
  <r>
    <s v="E1162"/>
    <s v="Laras Nuraini"/>
    <x v="0"/>
    <s v="Karyawan Tetap"/>
    <d v="2014-04-21T00:00:00"/>
    <s v="Islam"/>
    <s v="F"/>
    <s v="JAKARTA"/>
    <d v="1992-03-10T00:00:00"/>
    <n v="0.8"/>
    <n v="33"/>
    <x v="0"/>
    <x v="0"/>
  </r>
  <r>
    <s v="E1182"/>
    <s v="Cinthia Gunawan"/>
    <x v="0"/>
    <s v="Karyawan Tetap"/>
    <d v="2015-09-01T00:00:00"/>
    <s v="Katolik"/>
    <s v="F"/>
    <s v="TEBING TINGGI"/>
    <d v="1973-11-26T00:00:00"/>
    <n v="0.84"/>
    <n v="52"/>
    <x v="1"/>
    <x v="0"/>
  </r>
  <r>
    <s v="E1922"/>
    <s v="Bagiya Sihombing"/>
    <x v="0"/>
    <s v="Karyawan Tetap"/>
    <d v="2018-08-20T00:00:00"/>
    <s v="Islam"/>
    <s v="F"/>
    <s v="JAKARTA"/>
    <d v="1994-12-02T00:00:00"/>
    <n v="0.97"/>
    <n v="31"/>
    <x v="0"/>
    <x v="0"/>
  </r>
  <r>
    <s v="E1735"/>
    <s v="Violet Mentari"/>
    <x v="5"/>
    <s v="Karyawan Tetap"/>
    <d v="2017-08-14T00:00:00"/>
    <s v="Islam"/>
    <s v="F"/>
    <s v="BANYUWANGI"/>
    <d v="1990-09-07T00:00:00"/>
    <n v="0.78"/>
    <n v="35"/>
    <x v="0"/>
    <x v="0"/>
  </r>
  <r>
    <s v="N2168"/>
    <s v="Paiman Firgantoro"/>
    <x v="0"/>
    <s v="Kontrak"/>
    <d v="2019-12-09T00:00:00"/>
    <s v="Islam"/>
    <s v="M"/>
    <s v="JAKARTA"/>
    <d v="1988-12-09T00:00:00"/>
    <n v="0.87"/>
    <n v="37"/>
    <x v="0"/>
    <x v="0"/>
  </r>
  <r>
    <s v="E1016"/>
    <s v="Ophelia Mustofa"/>
    <x v="1"/>
    <s v="Karyawan Tetap"/>
    <d v="2008-01-02T00:00:00"/>
    <s v="Islam"/>
    <s v="M"/>
    <s v="MEDAN"/>
    <d v="1982-10-28T00:00:00"/>
    <n v="0.79"/>
    <n v="43"/>
    <x v="0"/>
    <x v="0"/>
  </r>
  <r>
    <s v="E2527"/>
    <s v="Darmanto Laksita"/>
    <x v="5"/>
    <s v="Karyawan Tetap"/>
    <d v="2021-09-20T00:00:00"/>
    <s v="Islam"/>
    <s v="F"/>
    <s v="SURABAYA"/>
    <d v="1993-10-01T00:00:00"/>
    <n v="0.6"/>
    <n v="32"/>
    <x v="0"/>
    <x v="1"/>
  </r>
  <r>
    <s v="E1900"/>
    <s v="Kenari Rajasa"/>
    <x v="0"/>
    <s v="Karyawan Tetap"/>
    <d v="2018-08-01T00:00:00"/>
    <s v="Islam"/>
    <s v="F"/>
    <s v="PEKALONGAN"/>
    <d v="1987-01-22T00:00:00"/>
    <n v="0.74"/>
    <n v="38"/>
    <x v="0"/>
    <x v="0"/>
  </r>
  <r>
    <s v="E1909"/>
    <s v="Puti Nadine Prakasa"/>
    <x v="0"/>
    <s v="Karyawan Tetap"/>
    <d v="2018-08-01T00:00:00"/>
    <s v="Islam"/>
    <s v="F"/>
    <s v="PEKALONGAN"/>
    <d v="1987-01-22T00:00:00"/>
    <n v="0.88"/>
    <n v="38"/>
    <x v="0"/>
    <x v="0"/>
  </r>
  <r>
    <s v="N2857"/>
    <s v="Clara Prasetyo"/>
    <x v="0"/>
    <s v="Kontrak"/>
    <d v="2022-12-21T00:00:00"/>
    <s v="Islam"/>
    <s v="F"/>
    <s v="BOGOR"/>
    <d v="2000-06-16T00:00:00"/>
    <n v="0.66"/>
    <n v="25"/>
    <x v="0"/>
    <x v="1"/>
  </r>
  <r>
    <s v="N2139"/>
    <s v="Nabila Prakasa"/>
    <x v="0"/>
    <s v="Kontrak"/>
    <d v="2019-10-21T00:00:00"/>
    <s v="Islam"/>
    <s v="F"/>
    <s v="JAKARTA"/>
    <d v="1996-07-19T00:00:00"/>
    <n v="0.87"/>
    <n v="29"/>
    <x v="0"/>
    <x v="0"/>
  </r>
  <r>
    <s v="N1568"/>
    <s v="Sutan Tirtayasa Wasita"/>
    <x v="0"/>
    <s v="Kontrak"/>
    <d v="2016-08-01T00:00:00"/>
    <s v="Islam"/>
    <s v="F"/>
    <s v="JAKARTA"/>
    <d v="1994-12-07T00:00:00"/>
    <n v="0.82"/>
    <n v="31"/>
    <x v="0"/>
    <x v="0"/>
  </r>
  <r>
    <s v="N1713"/>
    <s v="Sari Winarno"/>
    <x v="0"/>
    <s v="Kontrak"/>
    <d v="2017-07-10T00:00:00"/>
    <s v="Islam"/>
    <s v="F"/>
    <s v="JAKARTA"/>
    <d v="1986-02-24T00:00:00"/>
    <n v="0.61"/>
    <n v="39"/>
    <x v="0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s v="N1707"/>
    <s v="Dewi Kartini"/>
    <s v="JAKARTA"/>
    <s v="Kontrak"/>
    <d v="2017-07-04T00:00:00"/>
    <s v="Kristen"/>
    <s v="F"/>
    <s v="JAKARTA PUSAT"/>
    <d v="1987-11-08T00:00:00"/>
    <n v="0.99"/>
    <n v="38"/>
    <s v="Tidak"/>
    <x v="0"/>
    <x v="0"/>
    <n v="5000000"/>
  </r>
  <r>
    <s v="N2498"/>
    <s v="Siti Rahayu"/>
    <s v="JAKARTA"/>
    <s v="Kontrak"/>
    <d v="2021-08-09T00:00:00"/>
    <s v="Islam"/>
    <s v="F"/>
    <s v="BANDUNG"/>
    <d v="1992-04-18T00:00:00"/>
    <n v="0.77"/>
    <n v="33"/>
    <s v="Tidak"/>
    <x v="0"/>
    <x v="0"/>
    <n v="5000000"/>
  </r>
  <r>
    <s v="E2513"/>
    <s v="Lina Puspitasari"/>
    <s v="JAKARTA"/>
    <s v="Karyawan Tetap"/>
    <d v="2021-08-16T00:00:00"/>
    <s v="Islam"/>
    <s v="F"/>
    <s v="BOGOR"/>
    <d v="1995-03-10T00:00:00"/>
    <n v="0.7"/>
    <n v="30"/>
    <s v="Tidak"/>
    <x v="0"/>
    <x v="1"/>
    <n v="7000000"/>
  </r>
  <r>
    <s v="N1674"/>
    <s v="Ratna Kusuma"/>
    <s v="JAKARTA"/>
    <s v="Kontrak"/>
    <d v="2017-03-06T00:00:00"/>
    <s v="Islam"/>
    <s v="F"/>
    <s v="JAKARTA"/>
    <d v="1991-11-27T00:00:00"/>
    <n v="0.6"/>
    <n v="34"/>
    <s v="Tidak"/>
    <x v="1"/>
    <x v="2"/>
    <n v="4000000"/>
  </r>
  <r>
    <s v="E2640"/>
    <s v="Chicco Jerikho"/>
    <s v="JAKARTA"/>
    <s v="Karyawan Tetap"/>
    <d v="2022-06-06T00:00:00"/>
    <s v="Kristen"/>
    <s v="M"/>
    <s v="LAMPUNG"/>
    <d v="1996-05-11T00:00:00"/>
    <n v="0.7"/>
    <n v="29"/>
    <s v="Tidak"/>
    <x v="0"/>
    <x v="3"/>
    <n v="25000000"/>
  </r>
  <r>
    <s v="N2016"/>
    <s v="Arifin Sutedjo"/>
    <s v="JAKARTA"/>
    <s v="Kontrak"/>
    <d v="2019-01-14T00:00:00"/>
    <s v="Islam"/>
    <s v="M"/>
    <s v="JAKARTA"/>
    <d v="1993-12-04T00:00:00"/>
    <n v="0.67"/>
    <n v="32"/>
    <s v="Tidak"/>
    <x v="1"/>
    <x v="2"/>
    <n v="4000000"/>
  </r>
  <r>
    <s v="E2054"/>
    <s v="Agus Suharto"/>
    <s v="JAKARTA"/>
    <s v="Karyawan Tetap"/>
    <d v="2019-04-22T00:00:00"/>
    <s v="Islam"/>
    <s v="M"/>
    <s v="PURBALINGGA"/>
    <d v="1994-09-23T00:00:00"/>
    <n v="0.63"/>
    <n v="31"/>
    <s v="Tidak"/>
    <x v="1"/>
    <x v="4"/>
    <n v="18000000"/>
  </r>
  <r>
    <s v="E1881"/>
    <s v="Lita Damayanti"/>
    <s v="JAKARTA"/>
    <s v="Karyawan Tetap"/>
    <d v="2018-06-25T00:00:00"/>
    <s v="Islam"/>
    <s v="F"/>
    <s v="TANGERANG"/>
    <d v="1993-12-14T00:00:00"/>
    <n v="0.79"/>
    <n v="32"/>
    <s v="Tidak"/>
    <x v="0"/>
    <x v="2"/>
    <n v="4000000"/>
  </r>
  <r>
    <s v="E2161"/>
    <s v="Eko Pramono"/>
    <s v="JAKARTA"/>
    <s v="Karyawan Tetap"/>
    <d v="2019-12-02T00:00:00"/>
    <s v="Islam"/>
    <s v="M"/>
    <s v="JAKARTA"/>
    <d v="1994-04-04T00:00:00"/>
    <n v="0.94"/>
    <n v="31"/>
    <s v="Tidak"/>
    <x v="0"/>
    <x v="4"/>
    <n v="18000000"/>
  </r>
  <r>
    <s v="N2031"/>
    <s v="Lina Handayani"/>
    <s v="JAKARTA"/>
    <s v="Kontrak"/>
    <d v="2019-03-04T00:00:00"/>
    <s v="Islam"/>
    <s v="F"/>
    <s v="BANDUNG"/>
    <d v="1990-11-12T00:00:00"/>
    <n v="0.62"/>
    <n v="35"/>
    <s v="Tidak"/>
    <x v="1"/>
    <x v="2"/>
    <n v="4000000"/>
  </r>
  <r>
    <s v="N1173"/>
    <s v="Chicco Kurniawan"/>
    <s v="JAKARTA"/>
    <s v="Kontrak"/>
    <d v="2014-06-02T00:00:00"/>
    <s v="Islam"/>
    <s v="M"/>
    <s v="JAKARTA"/>
    <d v="1990-03-18T00:00:00"/>
    <n v="0.69"/>
    <n v="35"/>
    <s v="Tidak"/>
    <x v="1"/>
    <x v="2"/>
    <n v="4000000"/>
  </r>
  <r>
    <s v="E1005"/>
    <s v="Yanto Setiawan"/>
    <s v="JAKARTA"/>
    <s v="Karyawan Tetap"/>
    <d v="2007-08-01T00:00:00"/>
    <s v="Islam"/>
    <s v="M"/>
    <s v="TASIKMALAYA"/>
    <d v="1979-03-02T00:00:00"/>
    <n v="0.84"/>
    <n v="46"/>
    <s v="Tidak"/>
    <x v="0"/>
    <x v="0"/>
    <n v="5000000"/>
  </r>
  <r>
    <s v="E1063"/>
    <s v="Joko Nugroho"/>
    <s v="JAKARTA"/>
    <s v="Karyawan Tetap"/>
    <d v="2010-10-01T00:00:00"/>
    <s v="Islam"/>
    <s v="M"/>
    <s v="JAKARTA"/>
    <d v="1985-09-01T00:00:00"/>
    <n v="0.7"/>
    <n v="40"/>
    <s v="Tidak"/>
    <x v="0"/>
    <x v="1"/>
    <n v="7000000"/>
  </r>
  <r>
    <s v="E1974"/>
    <s v="Arianto Wibowo"/>
    <s v="MEDAN"/>
    <s v="Karyawan Tetap"/>
    <d v="2018-11-01T00:00:00"/>
    <s v="Islam"/>
    <s v="M"/>
    <s v="JAKARTA"/>
    <d v="1989-02-04T00:00:00"/>
    <n v="0.84"/>
    <n v="36"/>
    <s v="Tidak"/>
    <x v="0"/>
    <x v="0"/>
    <n v="5000000"/>
  </r>
  <r>
    <s v="E0828"/>
    <s v="Erwin Gutawa"/>
    <s v="JAKARTA"/>
    <s v="Karyawan Tetap"/>
    <d v="2000-08-01T00:00:00"/>
    <s v="Islam"/>
    <s v="M"/>
    <s v="BATANG"/>
    <d v="1975-03-10T00:00:00"/>
    <n v="0.89"/>
    <n v="50"/>
    <s v="Ya"/>
    <x v="0"/>
    <x v="3"/>
    <n v="25000000"/>
  </r>
  <r>
    <s v="E1054"/>
    <s v="Aliando Syarief"/>
    <s v="JAKARTA"/>
    <s v="Karyawan Tetap"/>
    <d v="2009-11-09T00:00:00"/>
    <s v="Islam"/>
    <s v="M"/>
    <s v="TANGERANG"/>
    <d v="1984-12-26T00:00:00"/>
    <n v="1"/>
    <n v="41"/>
    <s v="Tidak"/>
    <x v="0"/>
    <x v="4"/>
    <n v="18000000"/>
  </r>
  <r>
    <s v="E1703"/>
    <s v="Tuti Rahmawati"/>
    <s v="JAKARTA"/>
    <s v="Karyawan Tetap"/>
    <d v="2017-06-14T00:00:00"/>
    <s v="Islam"/>
    <s v="F"/>
    <s v="KARANGANYAR"/>
    <d v="1984-07-23T00:00:00"/>
    <n v="0.85"/>
    <n v="41"/>
    <s v="Tidak"/>
    <x v="0"/>
    <x v="3"/>
    <n v="25000000"/>
  </r>
  <r>
    <s v="E2840"/>
    <s v="Eko Sutomo"/>
    <s v="JAKARTA"/>
    <s v="Karyawan Tetap"/>
    <d v="2022-12-05T00:00:00"/>
    <s v="Kristen"/>
    <s v="M"/>
    <s v="TOMOHON"/>
    <d v="1986-06-04T00:00:00"/>
    <n v="0.68"/>
    <n v="39"/>
    <s v="Tidak"/>
    <x v="1"/>
    <x v="4"/>
    <n v="18000000"/>
  </r>
  <r>
    <s v="E1861"/>
    <s v="Rina Kurniati"/>
    <s v="JAKARTA"/>
    <s v="Karyawan Tetap"/>
    <d v="2018-04-16T00:00:00"/>
    <s v="Islam"/>
    <s v="F"/>
    <s v="JAKARTA"/>
    <d v="1994-03-01T00:00:00"/>
    <n v="0.64"/>
    <n v="31"/>
    <s v="Tidak"/>
    <x v="1"/>
    <x v="5"/>
    <n v="12000000"/>
  </r>
  <r>
    <s v="N1860"/>
    <s v="Arif Setiawan"/>
    <s v="JAKARTA"/>
    <s v="Kontrak"/>
    <d v="2018-04-16T00:00:00"/>
    <s v="Islam"/>
    <s v="M"/>
    <s v="JAKARTA"/>
    <d v="1994-03-01T00:00:00"/>
    <n v="0.81"/>
    <n v="31"/>
    <s v="Tidak"/>
    <x v="0"/>
    <x v="1"/>
    <n v="7000000"/>
  </r>
  <r>
    <s v="N0951"/>
    <s v="Choky Sitohang"/>
    <s v="JAKARTA"/>
    <s v="Kontrak"/>
    <d v="2006-07-24T00:00:00"/>
    <s v="Islam"/>
    <s v="M"/>
    <s v="BLITAR"/>
    <d v="1983-02-17T00:00:00"/>
    <n v="0.73"/>
    <n v="42"/>
    <s v="Tidak"/>
    <x v="0"/>
    <x v="1"/>
    <n v="7000000"/>
  </r>
  <r>
    <s v="E2575"/>
    <s v="Retno Cahyani"/>
    <s v="JAKARTA"/>
    <s v="Karyawan Tetap"/>
    <d v="2022-01-10T00:00:00"/>
    <s v="Islam"/>
    <s v="F"/>
    <s v="PALEMBANG"/>
    <d v="1996-10-17T00:00:00"/>
    <n v="0.93"/>
    <n v="29"/>
    <s v="Tidak"/>
    <x v="0"/>
    <x v="0"/>
    <n v="5000000"/>
  </r>
  <r>
    <s v="N2619"/>
    <s v="Benyamin Sueb"/>
    <s v="JAKARTA"/>
    <s v="Kontrak"/>
    <d v="2022-05-10T00:00:00"/>
    <s v="Kristen"/>
    <s v="M"/>
    <s v="JAKARTA"/>
    <d v="1985-01-19T00:00:00"/>
    <n v="0.71"/>
    <n v="40"/>
    <s v="Tidak"/>
    <x v="0"/>
    <x v="3"/>
    <n v="25000000"/>
  </r>
  <r>
    <s v="E2321"/>
    <s v="Rudi Haryanto"/>
    <s v="MEDAN"/>
    <s v="Karyawan Tetap"/>
    <d v="2020-07-01T00:00:00"/>
    <s v="Islam"/>
    <s v="M"/>
    <s v="JAKARTA"/>
    <d v="1987-03-13T00:00:00"/>
    <n v="0.86"/>
    <n v="38"/>
    <s v="Tidak"/>
    <x v="0"/>
    <x v="3"/>
    <n v="25000000"/>
  </r>
  <r>
    <s v="E2620"/>
    <s v="Alvaro Maldini"/>
    <s v="JAKARTA"/>
    <s v="Karyawan Tetap"/>
    <d v="2022-05-09T00:00:00"/>
    <s v="Islam"/>
    <s v="M"/>
    <s v="KUNINGAN"/>
    <d v="1996-01-16T00:00:00"/>
    <n v="0.89"/>
    <n v="29"/>
    <s v="Tidak"/>
    <x v="0"/>
    <x v="0"/>
    <n v="5000000"/>
  </r>
  <r>
    <s v="E1690"/>
    <s v="Wati Sulistiani"/>
    <s v="JAKARTA"/>
    <s v="Karyawan Tetap"/>
    <d v="2017-05-15T00:00:00"/>
    <s v="Islam"/>
    <s v="F"/>
    <s v="JAKARTA"/>
    <d v="1993-03-24T00:00:00"/>
    <n v="0.98"/>
    <n v="32"/>
    <s v="Tidak"/>
    <x v="0"/>
    <x v="1"/>
    <n v="7000000"/>
  </r>
  <r>
    <s v="E1064"/>
    <s v="Budi Santoso"/>
    <s v="JAKARTA"/>
    <s v="Karyawan Tetap"/>
    <d v="2010-10-01T00:00:00"/>
    <s v="Islam"/>
    <s v="M"/>
    <s v="INDRAMAYU"/>
    <d v="1984-12-03T00:00:00"/>
    <n v="0.97"/>
    <n v="41"/>
    <s v="Tidak"/>
    <x v="0"/>
    <x v="4"/>
    <n v="18000000"/>
  </r>
  <r>
    <s v="E1065"/>
    <s v="Indah Wulandari"/>
    <s v="JAKARTA"/>
    <s v="Karyawan Tetap"/>
    <d v="2010-10-01T00:00:00"/>
    <s v="Islam"/>
    <s v="F"/>
    <s v="MEDAN"/>
    <d v="1979-06-02T00:00:00"/>
    <n v="0.87"/>
    <n v="46"/>
    <s v="Tidak"/>
    <x v="0"/>
    <x v="1"/>
    <n v="7000000"/>
  </r>
  <r>
    <s v="E1841"/>
    <s v="Dodit Mulyanto"/>
    <s v="JAKARTA"/>
    <s v="Karyawan Tetap"/>
    <d v="2018-03-05T00:00:00"/>
    <s v="Islam"/>
    <s v="M"/>
    <s v="JAKARTA"/>
    <d v="1986-11-12T00:00:00"/>
    <n v="0.96"/>
    <n v="39"/>
    <s v="Tidak"/>
    <x v="0"/>
    <x v="0"/>
    <n v="5000000"/>
  </r>
  <r>
    <s v="E2867"/>
    <s v="Putri Sari"/>
    <s v="JAKARTA"/>
    <s v="Karyawan Tetap"/>
    <d v="2023-01-02T00:00:00"/>
    <s v="Islam"/>
    <s v="F"/>
    <s v="TASIKMALAYA"/>
    <d v="1996-08-24T00:00:00"/>
    <n v="0.85"/>
    <n v="29"/>
    <s v="Tidak"/>
    <x v="0"/>
    <x v="0"/>
    <n v="5000000"/>
  </r>
  <r>
    <s v="N1720"/>
    <s v="Al Ghazali"/>
    <s v="JAKARTA"/>
    <s v="Kontrak"/>
    <d v="2017-07-17T00:00:00"/>
    <s v="Islam"/>
    <s v="M"/>
    <s v="TRENGGALEK"/>
    <d v="1988-08-15T00:00:00"/>
    <n v="0.74"/>
    <n v="37"/>
    <s v="Tidak"/>
    <x v="0"/>
    <x v="3"/>
    <n v="25000000"/>
  </r>
  <r>
    <s v="E1880"/>
    <s v="Retno Sulistyowati"/>
    <s v="JAKARTA"/>
    <s v="Karyawan Tetap"/>
    <d v="2018-06-21T00:00:00"/>
    <s v="Islam"/>
    <s v="F"/>
    <s v="BANDUNG"/>
    <d v="1989-02-05T00:00:00"/>
    <n v="0.77"/>
    <n v="36"/>
    <s v="Tidak"/>
    <x v="0"/>
    <x v="4"/>
    <n v="18000000"/>
  </r>
  <r>
    <s v="E1929"/>
    <s v="Alvin Adam"/>
    <s v="JAKARTA"/>
    <s v="Karyawan Tetap"/>
    <d v="2018-09-03T00:00:00"/>
    <s v="Islam"/>
    <s v="M"/>
    <s v="GROBOGAN"/>
    <d v="1995-02-10T00:00:00"/>
    <n v="0.62"/>
    <n v="30"/>
    <s v="Tidak"/>
    <x v="1"/>
    <x v="2"/>
    <n v="4000000"/>
  </r>
  <r>
    <s v="E0911"/>
    <s v="Nita Permata"/>
    <s v="BANDUNG"/>
    <s v="Karyawan Tetap"/>
    <d v="2005-07-01T00:00:00"/>
    <s v="Islam"/>
    <s v="M"/>
    <s v="SIDOARJO"/>
    <d v="1980-09-05T00:00:00"/>
    <n v="0.91"/>
    <n v="45"/>
    <s v="Tidak"/>
    <x v="0"/>
    <x v="1"/>
    <n v="7000000"/>
  </r>
  <r>
    <s v="E2170"/>
    <s v="Bertrand Antolin"/>
    <s v="JAKARTA"/>
    <s v="Karyawan Tetap"/>
    <d v="2019-12-09T00:00:00"/>
    <s v="Islam"/>
    <s v="M"/>
    <s v="JAKARTA"/>
    <d v="1996-03-30T00:00:00"/>
    <n v="0.61"/>
    <n v="29"/>
    <s v="Tidak"/>
    <x v="1"/>
    <x v="1"/>
    <n v="7000000"/>
  </r>
  <r>
    <s v="E1111"/>
    <s v="Wulan Puspita"/>
    <s v="JAKARTA"/>
    <s v="Karyawan Tetap"/>
    <d v="2012-09-17T00:00:00"/>
    <s v="Islam"/>
    <s v="F"/>
    <s v="BANDUNG"/>
    <d v="1985-10-14T00:00:00"/>
    <n v="0.84"/>
    <n v="40"/>
    <s v="Tidak"/>
    <x v="0"/>
    <x v="5"/>
    <n v="12000000"/>
  </r>
  <r>
    <s v="E1081"/>
    <s v="Maya Wati"/>
    <s v="JAKARTA"/>
    <s v="Karyawan Tetap"/>
    <d v="2012-01-02T00:00:00"/>
    <s v="Islam"/>
    <s v="F"/>
    <s v="TAMAN SARI"/>
    <d v="1989-04-20T00:00:00"/>
    <n v="0.76"/>
    <n v="36"/>
    <s v="Tidak"/>
    <x v="0"/>
    <x v="1"/>
    <n v="7000000"/>
  </r>
  <r>
    <s v="E2134"/>
    <s v="Aaron Ashab"/>
    <s v="JAKARTA"/>
    <s v="Karyawan Tetap"/>
    <d v="2019-10-10T00:00:00"/>
    <s v="Islam"/>
    <s v="M"/>
    <s v="PADANG"/>
    <d v="1990-07-07T00:00:00"/>
    <n v="0.89"/>
    <n v="35"/>
    <s v="Tidak"/>
    <x v="0"/>
    <x v="2"/>
    <n v="4000000"/>
  </r>
  <r>
    <s v="N2584"/>
    <s v="Surya Permana"/>
    <s v="MALANG"/>
    <s v="Kontrak"/>
    <d v="2022-02-02T00:00:00"/>
    <s v="Islam"/>
    <s v="M"/>
    <s v="MALANG"/>
    <d v="1991-07-07T00:00:00"/>
    <n v="0.73"/>
    <n v="34"/>
    <s v="Tidak"/>
    <x v="0"/>
    <x v="1"/>
    <n v="7000000"/>
  </r>
  <r>
    <s v="N2583"/>
    <s v="Retno Purnomo"/>
    <s v="MALANG"/>
    <s v="Kontrak"/>
    <d v="2022-02-02T00:00:00"/>
    <s v="Islam"/>
    <s v="F"/>
    <s v="MALANG"/>
    <d v="1991-07-07T00:00:00"/>
    <n v="0.8"/>
    <n v="34"/>
    <s v="Tidak"/>
    <x v="0"/>
    <x v="1"/>
    <n v="7000000"/>
  </r>
  <r>
    <s v="N1453"/>
    <s v="Joko Susanto"/>
    <s v="JAKARTA"/>
    <s v="Kontrak"/>
    <d v="2016-02-01T00:00:00"/>
    <s v="Islam"/>
    <s v="M"/>
    <s v="BANYUWANGI"/>
    <d v="1980-02-25T00:00:00"/>
    <n v="0.73"/>
    <n v="45"/>
    <s v="Tidak"/>
    <x v="0"/>
    <x v="6"/>
    <n v="40000000"/>
  </r>
  <r>
    <s v="E1491"/>
    <s v="Donny Alamsyah"/>
    <s v="JAKARTA"/>
    <s v="Karyawan Tetap"/>
    <d v="2016-02-10T00:00:00"/>
    <s v="Islam"/>
    <s v="M"/>
    <s v="JAKARTA"/>
    <d v="1989-03-16T00:00:00"/>
    <n v="0.84"/>
    <n v="36"/>
    <s v="Tidak"/>
    <x v="0"/>
    <x v="2"/>
    <n v="4000000"/>
  </r>
  <r>
    <s v="E1490"/>
    <s v="Nia Fitriani"/>
    <s v="JAKARTA"/>
    <s v="Karyawan Tetap"/>
    <d v="2016-02-10T00:00:00"/>
    <s v="Islam"/>
    <s v="F"/>
    <s v="JAKARTA"/>
    <d v="1989-03-16T00:00:00"/>
    <n v="1"/>
    <n v="36"/>
    <s v="Tidak"/>
    <x v="0"/>
    <x v="0"/>
    <n v="5000000"/>
  </r>
  <r>
    <s v="E2201"/>
    <s v="Astuti Hartati"/>
    <s v="JAKARTA"/>
    <s v="Karyawan Tetap"/>
    <d v="2020-01-20T00:00:00"/>
    <s v="Islam"/>
    <s v="F"/>
    <s v="BANDUNG"/>
    <d v="1992-08-21T00:00:00"/>
    <n v="0.86"/>
    <n v="33"/>
    <s v="Tidak"/>
    <x v="0"/>
    <x v="0"/>
    <n v="5000000"/>
  </r>
  <r>
    <s v="N1134"/>
    <s v="Rizal Prasetya"/>
    <s v="DENPASAR"/>
    <s v="Kontrak"/>
    <d v="2013-02-18T00:00:00"/>
    <s v="Islam"/>
    <s v="M"/>
    <s v="JEMBER"/>
    <d v="1986-04-10T00:00:00"/>
    <n v="0.76"/>
    <n v="39"/>
    <s v="Tidak"/>
    <x v="0"/>
    <x v="1"/>
    <n v="7000000"/>
  </r>
  <r>
    <s v="N1068"/>
    <s v="Nita Wulandari"/>
    <s v="JAKARTA"/>
    <s v="Kontrak"/>
    <d v="2011-04-11T00:00:00"/>
    <s v="Islam"/>
    <s v="F"/>
    <s v="SRAGEN"/>
    <d v="1987-03-13T00:00:00"/>
    <n v="0.95"/>
    <n v="38"/>
    <s v="Tidak"/>
    <x v="0"/>
    <x v="1"/>
    <n v="7000000"/>
  </r>
  <r>
    <s v="E0896"/>
    <s v="Esa Sigit"/>
    <s v="JAKARTA"/>
    <s v="Karyawan Tetap"/>
    <d v="2004-05-10T00:00:00"/>
    <s v="Islam"/>
    <s v="M"/>
    <s v="JAKARTA"/>
    <d v="1975-08-09T00:00:00"/>
    <n v="0.73"/>
    <n v="50"/>
    <s v="Ya"/>
    <x v="0"/>
    <x v="0"/>
    <n v="5000000"/>
  </r>
  <r>
    <s v="E0931"/>
    <s v="Rika Sari"/>
    <s v="JAKARTA"/>
    <s v="Karyawan Tetap"/>
    <d v="2006-05-01T00:00:00"/>
    <s v="Islam"/>
    <s v="M"/>
    <s v="JAKARTA"/>
    <d v="1979-02-16T00:00:00"/>
    <n v="0.87"/>
    <n v="46"/>
    <s v="Tidak"/>
    <x v="0"/>
    <x v="2"/>
    <n v="4000000"/>
  </r>
  <r>
    <s v="E0813"/>
    <s v="Winda Pertiwi"/>
    <s v="JAKARTA"/>
    <s v="Karyawan Tetap"/>
    <d v="2000-06-01T00:00:00"/>
    <s v="Islam"/>
    <s v="F"/>
    <s v="JAKARTA"/>
    <d v="1971-11-01T00:00:00"/>
    <n v="0.71"/>
    <n v="54"/>
    <s v="Ya"/>
    <x v="0"/>
    <x v="0"/>
    <n v="5000000"/>
  </r>
  <r>
    <s v="E3144"/>
    <s v="Agus Santoso"/>
    <s v="JAKARTA"/>
    <s v="Karyawan Tetap"/>
    <d v="2024-03-01T00:00:00"/>
    <s v="Islam"/>
    <s v="M"/>
    <s v="JAKARTA"/>
    <d v="1995-02-15T00:00:00"/>
    <n v="0.66"/>
    <n v="30"/>
    <s v="Tidak"/>
    <x v="1"/>
    <x v="1"/>
    <n v="7000000"/>
  </r>
  <r>
    <s v="E3143"/>
    <s v="Rudi Prasetya"/>
    <s v="JAKARTA"/>
    <s v="Karyawan Tetap"/>
    <d v="2024-03-01T00:00:00"/>
    <s v="Islam"/>
    <s v="M"/>
    <s v="JAKARTA"/>
    <d v="1995-02-15T00:00:00"/>
    <n v="0.88"/>
    <n v="30"/>
    <s v="Tidak"/>
    <x v="0"/>
    <x v="2"/>
    <n v="4000000"/>
  </r>
  <r>
    <s v="N2114"/>
    <s v="Dedy Santoso"/>
    <s v="JAKARTA"/>
    <s v="Kontrak"/>
    <d v="2019-09-02T00:00:00"/>
    <s v="Islam"/>
    <s v="M"/>
    <s v="CILACAP"/>
    <d v="1993-08-28T00:00:00"/>
    <n v="0.91"/>
    <n v="32"/>
    <s v="Tidak"/>
    <x v="0"/>
    <x v="0"/>
    <n v="5000000"/>
  </r>
  <r>
    <s v="E1885"/>
    <s v="Bagus Satria"/>
    <s v="MEDAN"/>
    <s v="Karyawan Tetap"/>
    <d v="2018-07-02T00:00:00"/>
    <s v="Islam"/>
    <s v="M"/>
    <s v="SUMATRA UTARA"/>
    <d v="1992-07-05T00:00:00"/>
    <n v="0.79"/>
    <n v="33"/>
    <s v="Tidak"/>
    <x v="0"/>
    <x v="5"/>
    <n v="12000000"/>
  </r>
  <r>
    <s v="E2898"/>
    <s v="Ahmad Hidayat"/>
    <s v="JAKARTA"/>
    <s v="Karyawan Tetap"/>
    <d v="2023-03-20T00:00:00"/>
    <s v="Islam"/>
    <s v="M"/>
    <s v="JAKARTA"/>
    <d v="1996-10-13T00:00:00"/>
    <n v="0.76"/>
    <n v="29"/>
    <s v="Tidak"/>
    <x v="0"/>
    <x v="2"/>
    <n v="4000000"/>
  </r>
  <r>
    <s v="N1565"/>
    <s v="Sigit Saputra"/>
    <s v="JAKARTA"/>
    <s v="Kontrak"/>
    <d v="2016-08-01T00:00:00"/>
    <s v="Islam"/>
    <s v="M"/>
    <s v="JAKARTA"/>
    <d v="1978-10-31T00:00:00"/>
    <n v="0.71"/>
    <n v="47"/>
    <s v="Tidak"/>
    <x v="0"/>
    <x v="3"/>
    <n v="25000000"/>
  </r>
  <r>
    <s v="N2378"/>
    <s v="Agus Nugroho"/>
    <s v="JAKARTA"/>
    <s v="Kontrak"/>
    <d v="2020-10-19T00:00:00"/>
    <s v="Islam"/>
    <s v="M"/>
    <s v="JOMBANG"/>
    <d v="1996-08-03T00:00:00"/>
    <n v="0.75"/>
    <n v="29"/>
    <s v="Tidak"/>
    <x v="0"/>
    <x v="3"/>
    <n v="25000000"/>
  </r>
  <r>
    <s v="N1191"/>
    <s v="Joko Sutrisno"/>
    <s v="JAKARTA"/>
    <s v="Kontrak"/>
    <d v="2014-11-01T00:00:00"/>
    <s v="Islam"/>
    <s v="M"/>
    <s v="BOGOR"/>
    <d v="1985-11-26T00:00:00"/>
    <n v="0.81"/>
    <n v="40"/>
    <s v="Tidak"/>
    <x v="0"/>
    <x v="3"/>
    <n v="25000000"/>
  </r>
  <r>
    <s v="E1601"/>
    <s v="Iwan Prasetyo"/>
    <s v="JAKARTA"/>
    <s v="Karyawan Tetap"/>
    <d v="2016-12-01T00:00:00"/>
    <s v="Islam"/>
    <s v="M"/>
    <s v="GRESIK"/>
    <d v="1988-03-26T00:00:00"/>
    <n v="1"/>
    <n v="37"/>
    <s v="Tidak"/>
    <x v="0"/>
    <x v="0"/>
    <n v="5000000"/>
  </r>
  <r>
    <s v="E3140"/>
    <s v="Dodi Nugraha"/>
    <s v="JAKARTA"/>
    <s v="Karyawan Tetap"/>
    <d v="2024-03-01T00:00:00"/>
    <s v="Islam"/>
    <s v="M"/>
    <s v="JAKARTA"/>
    <d v="1994-12-19T00:00:00"/>
    <n v="0.91"/>
    <n v="31"/>
    <s v="Tidak"/>
    <x v="0"/>
    <x v="1"/>
    <n v="7000000"/>
  </r>
  <r>
    <s v="E3142"/>
    <s v="Rika Sari"/>
    <s v="JAKARTA"/>
    <s v="Karyawan Tetap"/>
    <d v="2024-03-01T00:00:00"/>
    <s v="Islam"/>
    <s v="F"/>
    <s v="JAKARTA"/>
    <d v="1994-12-19T00:00:00"/>
    <n v="0.62"/>
    <n v="31"/>
    <s v="Tidak"/>
    <x v="1"/>
    <x v="0"/>
    <n v="5000000"/>
  </r>
  <r>
    <s v="E1604"/>
    <s v="Dian Purnama"/>
    <s v="JAKARTA"/>
    <s v="Karyawan Tetap"/>
    <d v="2016-12-13T00:00:00"/>
    <s v="Islam"/>
    <s v="F"/>
    <s v="TUAL"/>
    <d v="1988-02-18T00:00:00"/>
    <n v="0.72"/>
    <n v="37"/>
    <s v="Tidak"/>
    <x v="0"/>
    <x v="0"/>
    <n v="5000000"/>
  </r>
  <r>
    <s v="E0892"/>
    <s v="Ernest Prakasa"/>
    <s v="JAKARTA"/>
    <s v="Karyawan Tetap"/>
    <d v="2004-03-11T00:00:00"/>
    <s v="Islam"/>
    <s v="M"/>
    <s v="JAKARTA"/>
    <d v="1976-11-03T00:00:00"/>
    <n v="0.77"/>
    <n v="49"/>
    <s v="Tidak"/>
    <x v="0"/>
    <x v="2"/>
    <n v="4000000"/>
  </r>
  <r>
    <s v="E1109"/>
    <s v="Yudi Susilo"/>
    <s v="JAKARTA"/>
    <s v="Karyawan Tetap"/>
    <d v="2012-09-10T00:00:00"/>
    <s v="Islam"/>
    <s v="M"/>
    <s v="KARANGANYAR"/>
    <d v="1990-04-21T00:00:00"/>
    <n v="0.65"/>
    <n v="35"/>
    <s v="Tidak"/>
    <x v="1"/>
    <x v="0"/>
    <n v="5000000"/>
  </r>
  <r>
    <s v="E2885"/>
    <s v="Retno Purnomo"/>
    <s v="JAKARTA"/>
    <s v="Karyawan Tetap"/>
    <d v="2023-02-01T00:00:00"/>
    <s v="Islam"/>
    <s v="M"/>
    <s v="INDRAMAYU"/>
    <d v="1986-07-10T00:00:00"/>
    <n v="0.78"/>
    <n v="39"/>
    <s v="Tidak"/>
    <x v="0"/>
    <x v="5"/>
    <n v="12000000"/>
  </r>
  <r>
    <s v="E1456"/>
    <s v="Rudi Hartono"/>
    <s v="JAKARTA"/>
    <s v="Karyawan Tetap"/>
    <d v="2016-02-01T00:00:00"/>
    <s v="Islam"/>
    <s v="M"/>
    <s v="TANGERANG"/>
    <d v="1971-10-30T00:00:00"/>
    <n v="0.71"/>
    <n v="54"/>
    <s v="Ya"/>
    <x v="0"/>
    <x v="0"/>
    <n v="5000000"/>
  </r>
  <r>
    <s v="E1393"/>
    <s v="Rani Kartika"/>
    <s v="JAKARTA"/>
    <s v="Karyawan Tetap"/>
    <d v="2016-02-01T00:00:00"/>
    <s v="Islam"/>
    <s v="F"/>
    <s v="TULUNGAGUNG"/>
    <d v="1986-01-08T00:00:00"/>
    <n v="0.63"/>
    <n v="39"/>
    <s v="Tidak"/>
    <x v="1"/>
    <x v="0"/>
    <n v="5000000"/>
  </r>
  <r>
    <s v="E2322"/>
    <s v="Hadi Nugroho"/>
    <s v="JAKARTA"/>
    <s v="Karyawan Tetap"/>
    <d v="2020-07-01T00:00:00"/>
    <s v="Islam"/>
    <s v="M"/>
    <s v="JAKARTA"/>
    <d v="1993-01-16T00:00:00"/>
    <n v="0.72"/>
    <n v="32"/>
    <s v="Tidak"/>
    <x v="0"/>
    <x v="0"/>
    <n v="5000000"/>
  </r>
  <r>
    <s v="E0806"/>
    <s v="Rina Dewi"/>
    <s v="JAKARTA"/>
    <s v="Karyawan Tetap"/>
    <d v="2000-05-01T00:00:00"/>
    <s v="Islam"/>
    <s v="F"/>
    <s v="BANDUNG"/>
    <d v="1970-05-29T00:00:00"/>
    <n v="0.91"/>
    <n v="55"/>
    <s v="Ya"/>
    <x v="0"/>
    <x v="1"/>
    <n v="7000000"/>
  </r>
  <r>
    <s v="E1866"/>
    <s v="Agung Prasetyo"/>
    <s v="JAKARTA"/>
    <s v="Karyawan Tetap"/>
    <d v="2018-05-07T00:00:00"/>
    <s v="Islam"/>
    <s v="M"/>
    <s v="JAKARTA"/>
    <d v="1993-12-11T00:00:00"/>
    <n v="0.66"/>
    <n v="32"/>
    <s v="Tidak"/>
    <x v="1"/>
    <x v="2"/>
    <n v="4000000"/>
  </r>
  <r>
    <s v="E2600"/>
    <s v="Sari Wulandari"/>
    <s v="JAKARTA"/>
    <s v="Karyawan Tetap"/>
    <d v="2022-03-21T00:00:00"/>
    <s v="Islam"/>
    <s v="F"/>
    <s v="DI YOGYAKARTA"/>
    <d v="1995-07-16T00:00:00"/>
    <n v="0.88"/>
    <n v="30"/>
    <s v="Tidak"/>
    <x v="0"/>
    <x v="2"/>
    <n v="4000000"/>
  </r>
  <r>
    <s v="E0956"/>
    <s v="Wahyu Prasetyo"/>
    <s v="JAKARTA"/>
    <s v="Karyawan Tetap"/>
    <d v="2006-08-01T00:00:00"/>
    <s v="Islam"/>
    <s v="M"/>
    <s v="BANDUNG"/>
    <d v="1979-09-03T00:00:00"/>
    <n v="0.96"/>
    <n v="46"/>
    <s v="Tidak"/>
    <x v="0"/>
    <x v="1"/>
    <n v="7000000"/>
  </r>
  <r>
    <s v="N2070"/>
    <s v="Bhisma Mulia"/>
    <s v="JAKARTA"/>
    <s v="Kontrak"/>
    <d v="2019-06-10T00:00:00"/>
    <s v="Islam"/>
    <s v="M"/>
    <s v="PURWOKERTO"/>
    <d v="1994-03-18T00:00:00"/>
    <n v="0.82"/>
    <n v="31"/>
    <s v="Tidak"/>
    <x v="0"/>
    <x v="2"/>
    <n v="4000000"/>
  </r>
  <r>
    <s v="N2777"/>
    <s v="Mega Fitri"/>
    <s v="JAKARTA"/>
    <s v="Kontrak"/>
    <d v="2022-09-05T00:00:00"/>
    <s v="Islam"/>
    <s v="F"/>
    <s v="BOGOR"/>
    <d v="1997-08-29T00:00:00"/>
    <n v="0.68"/>
    <n v="28"/>
    <s v="Tidak"/>
    <x v="1"/>
    <x v="2"/>
    <n v="4000000"/>
  </r>
  <r>
    <s v="E1718"/>
    <s v="Bambang Wijaya"/>
    <s v="JAKARTA"/>
    <s v="Karyawan Tetap"/>
    <d v="2017-07-17T00:00:00"/>
    <s v="Islam"/>
    <s v="M"/>
    <s v="JAKARTA"/>
    <d v="1993-10-07T00:00:00"/>
    <n v="0.83"/>
    <n v="32"/>
    <s v="Tidak"/>
    <x v="0"/>
    <x v="2"/>
    <n v="4000000"/>
  </r>
  <r>
    <s v="E1719"/>
    <s v="Maya Lestari"/>
    <s v="JAKARTA"/>
    <s v="Karyawan Tetap"/>
    <d v="2017-07-17T00:00:00"/>
    <s v="Islam"/>
    <s v="F"/>
    <s v="JAKARTA"/>
    <d v="1993-10-07T00:00:00"/>
    <n v="0.66"/>
    <n v="32"/>
    <s v="Tidak"/>
    <x v="1"/>
    <x v="0"/>
    <n v="5000000"/>
  </r>
  <r>
    <s v="E1994"/>
    <s v="Adi Nugroho"/>
    <s v="JAKARTA"/>
    <s v="Karyawan Tetap"/>
    <d v="2018-12-06T00:00:00"/>
    <s v="Islam"/>
    <s v="M"/>
    <s v="SEMARANG"/>
    <d v="1992-11-05T00:00:00"/>
    <n v="0.65"/>
    <n v="33"/>
    <s v="Tidak"/>
    <x v="1"/>
    <x v="0"/>
    <n v="5000000"/>
  </r>
  <r>
    <s v="N0795"/>
    <s v="Dolly Martin"/>
    <s v="JAKARTA"/>
    <s v="Kontrak"/>
    <d v="2000-03-13T00:00:00"/>
    <s v="Islam"/>
    <s v="M"/>
    <s v="TANJUNG KARANG"/>
    <d v="1977-03-06T00:00:00"/>
    <n v="0.63"/>
    <n v="48"/>
    <s v="Tidak"/>
    <x v="1"/>
    <x v="2"/>
    <n v="4000000"/>
  </r>
  <r>
    <s v="N1708"/>
    <s v="Wulan Indriani"/>
    <s v="JAKARTA"/>
    <s v="Kontrak"/>
    <d v="2017-07-03T00:00:00"/>
    <s v="Islam"/>
    <s v="F"/>
    <s v="JAKARTA"/>
    <d v="1987-12-01T00:00:00"/>
    <n v="0.8"/>
    <n v="38"/>
    <s v="Tidak"/>
    <x v="0"/>
    <x v="2"/>
    <n v="4000000"/>
  </r>
  <r>
    <s v="E2071"/>
    <s v="Rina Nurhayati"/>
    <s v="JAKARTA"/>
    <s v="Karyawan Tetap"/>
    <d v="2019-06-11T00:00:00"/>
    <s v="Islam"/>
    <s v="F"/>
    <s v="JAKARTA"/>
    <d v="1994-02-05T00:00:00"/>
    <n v="0.81"/>
    <n v="31"/>
    <s v="Tidak"/>
    <x v="0"/>
    <x v="0"/>
    <n v="5000000"/>
  </r>
  <r>
    <s v="E1049"/>
    <s v="Raina Aryani"/>
    <s v="JAKARTA"/>
    <s v="Karyawan Tetap"/>
    <d v="2008-10-20T00:00:00"/>
    <s v="Islam"/>
    <s v="F"/>
    <s v="JAKARTA"/>
    <d v="1985-08-28T00:00:00"/>
    <n v="0.74"/>
    <n v="40"/>
    <s v="Tidak"/>
    <x v="0"/>
    <x v="0"/>
    <n v="5000000"/>
  </r>
  <r>
    <s v="E1227"/>
    <s v="Tari Anggraini"/>
    <s v="JAKARTA"/>
    <s v="Karyawan Tetap"/>
    <d v="2015-03-02T00:00:00"/>
    <s v="Islam"/>
    <s v="F"/>
    <s v="JAKARTA"/>
    <d v="1989-10-28T00:00:00"/>
    <n v="1"/>
    <n v="36"/>
    <s v="Tidak"/>
    <x v="0"/>
    <x v="2"/>
    <n v="4000000"/>
  </r>
  <r>
    <s v="E1138"/>
    <s v="Karen Riyanti"/>
    <s v="JAKARTA"/>
    <s v="Karyawan Tetap"/>
    <d v="2013-04-01T00:00:00"/>
    <s v="Islam"/>
    <s v="F"/>
    <s v="BANDUNG"/>
    <d v="1985-08-20T00:00:00"/>
    <n v="0.6"/>
    <n v="40"/>
    <s v="Tidak"/>
    <x v="1"/>
    <x v="1"/>
    <n v="7000000"/>
  </r>
  <r>
    <s v="E0991"/>
    <s v="Titin Aryani"/>
    <s v="JAKARTA"/>
    <s v="Karyawan Tetap"/>
    <d v="2007-03-26T00:00:00"/>
    <s v="Islam"/>
    <s v="F"/>
    <s v="SITUBONDO"/>
    <d v="1983-07-15T00:00:00"/>
    <n v="0.67"/>
    <n v="42"/>
    <s v="Tidak"/>
    <x v="1"/>
    <x v="1"/>
    <n v="7000000"/>
  </r>
  <r>
    <s v="E2585"/>
    <s v="Ilsa Utami"/>
    <s v="JAKARTA"/>
    <s v="Karyawan Tetap"/>
    <d v="2022-02-02T00:00:00"/>
    <s v="Islam"/>
    <s v="F"/>
    <s v="SALATIGA"/>
    <d v="1990-10-22T00:00:00"/>
    <n v="0.83"/>
    <n v="35"/>
    <s v="Tidak"/>
    <x v="0"/>
    <x v="0"/>
    <n v="5000000"/>
  </r>
  <r>
    <s v="N2803"/>
    <s v="Jessica Hariyah"/>
    <s v="JAKARTA"/>
    <s v="Kontrak"/>
    <d v="2022-10-24T00:00:00"/>
    <s v="Islam"/>
    <s v="F"/>
    <s v="CILACAP"/>
    <d v="1998-09-20T00:00:00"/>
    <n v="0.61"/>
    <n v="27"/>
    <s v="Tidak"/>
    <x v="1"/>
    <x v="0"/>
    <n v="5000000"/>
  </r>
  <r>
    <s v="E0948"/>
    <s v="Almira Hasanah"/>
    <s v="JAKARTA"/>
    <s v="Karyawan Tetap"/>
    <d v="2006-06-01T00:00:00"/>
    <s v="Islam"/>
    <s v="F"/>
    <s v="JAKARTA"/>
    <d v="1978-07-20T00:00:00"/>
    <n v="0.64"/>
    <n v="47"/>
    <s v="Tidak"/>
    <x v="1"/>
    <x v="1"/>
    <n v="7000000"/>
  </r>
  <r>
    <s v="E1863"/>
    <s v="Sari Astuti"/>
    <s v="JAKARTA"/>
    <s v="Karyawan Tetap"/>
    <d v="2018-04-26T00:00:00"/>
    <s v="Islam"/>
    <s v="F"/>
    <s v="JAKARTA"/>
    <d v="1986-05-30T00:00:00"/>
    <n v="0.87"/>
    <n v="39"/>
    <s v="Tidak"/>
    <x v="0"/>
    <x v="0"/>
    <n v="5000000"/>
  </r>
  <r>
    <s v="E2819"/>
    <s v="Aurora Anggraini"/>
    <s v="JAKARTA"/>
    <s v="Karyawan Tetap"/>
    <d v="2022-11-21T00:00:00"/>
    <s v="Islam"/>
    <s v="F"/>
    <s v="TULUNGAGUNG"/>
    <d v="1989-10-07T00:00:00"/>
    <n v="1"/>
    <n v="36"/>
    <s v="Tidak"/>
    <x v="0"/>
    <x v="0"/>
    <n v="5000000"/>
  </r>
  <r>
    <s v="N2549"/>
    <s v="Vivi Andriani"/>
    <s v="JAKARTA"/>
    <s v="Kontrak"/>
    <d v="2021-12-01T00:00:00"/>
    <s v="Islam"/>
    <s v="F"/>
    <s v="JAKARTA"/>
    <d v="1994-10-20T00:00:00"/>
    <n v="0.89"/>
    <n v="31"/>
    <s v="Tidak"/>
    <x v="0"/>
    <x v="2"/>
    <n v="4000000"/>
  </r>
  <r>
    <s v="N1991"/>
    <s v="Eka Nashiruddin"/>
    <s v="JAKARTA"/>
    <s v="Kontrak"/>
    <d v="2018-11-26T00:00:00"/>
    <s v="Islam"/>
    <s v="F"/>
    <s v="JAKARTA"/>
    <d v="1988-04-09T00:00:00"/>
    <n v="0.82"/>
    <n v="37"/>
    <s v="Tidak"/>
    <x v="0"/>
    <x v="1"/>
    <n v="7000000"/>
  </r>
  <r>
    <s v="E2082"/>
    <s v="Adiarja Sirait"/>
    <s v="JAKARTA"/>
    <s v="Karyawan Tetap"/>
    <d v="2019-07-01T00:00:00"/>
    <s v="Islam"/>
    <s v="M"/>
    <s v="BANDUNG"/>
    <d v="1991-04-07T00:00:00"/>
    <n v="0.76"/>
    <n v="34"/>
    <s v="Tidak"/>
    <x v="0"/>
    <x v="2"/>
    <n v="4000000"/>
  </r>
  <r>
    <s v="E1989"/>
    <s v="Sidiq Pranowo"/>
    <s v="JAKARTA"/>
    <s v="Karyawan Tetap"/>
    <d v="2018-11-12T00:00:00"/>
    <s v="Islam"/>
    <s v="M"/>
    <s v="BEKASI"/>
    <d v="1989-09-08T00:00:00"/>
    <n v="0.94"/>
    <n v="36"/>
    <s v="Tidak"/>
    <x v="0"/>
    <x v="0"/>
    <n v="5000000"/>
  </r>
  <r>
    <s v="E1987"/>
    <s v="Harsana Budiman"/>
    <s v="JAKARTA"/>
    <s v="Karyawan Tetap"/>
    <d v="2018-11-12T00:00:00"/>
    <s v="Islam"/>
    <s v="M"/>
    <s v="BEKASI"/>
    <d v="1989-09-08T00:00:00"/>
    <n v="0.76"/>
    <n v="36"/>
    <s v="Tidak"/>
    <x v="0"/>
    <x v="2"/>
    <n v="4000000"/>
  </r>
  <r>
    <s v="E2601"/>
    <s v="Galar Halim"/>
    <s v="JAKARTA"/>
    <s v="Karyawan Tetap"/>
    <d v="2022-03-21T00:00:00"/>
    <s v="Islam"/>
    <s v="M"/>
    <s v="JAKARTA"/>
    <d v="1994-03-06T00:00:00"/>
    <n v="0.9"/>
    <n v="31"/>
    <s v="Tidak"/>
    <x v="0"/>
    <x v="2"/>
    <n v="4000000"/>
  </r>
  <r>
    <s v="N1579"/>
    <s v="Kardi Saptono"/>
    <s v="JAKARTA"/>
    <s v="Kontrak"/>
    <d v="2016-08-15T00:00:00"/>
    <s v="Islam"/>
    <s v="M"/>
    <s v="JAKARTA"/>
    <d v="1990-08-02T00:00:00"/>
    <n v="0.63"/>
    <n v="35"/>
    <s v="Tidak"/>
    <x v="1"/>
    <x v="2"/>
    <n v="4000000"/>
  </r>
  <r>
    <s v="N0867"/>
    <s v="Sabar Situmorang"/>
    <s v="JAKARTA"/>
    <s v="Kontrak"/>
    <d v="2002-12-11T00:00:00"/>
    <s v="Islam"/>
    <s v="M"/>
    <s v="PALEMBANG"/>
    <d v="1979-12-28T00:00:00"/>
    <n v="0.7"/>
    <n v="46"/>
    <s v="Tidak"/>
    <x v="0"/>
    <x v="2"/>
    <n v="4000000"/>
  </r>
  <r>
    <s v="E2389"/>
    <s v="Dimaz Zulkarnain"/>
    <s v="JAKARTA"/>
    <s v="Karyawan Tetap"/>
    <d v="2020-12-07T00:00:00"/>
    <s v="Islam"/>
    <s v="M"/>
    <s v="JAKARTA"/>
    <d v="1992-06-10T00:00:00"/>
    <n v="0.62"/>
    <n v="33"/>
    <s v="Tidak"/>
    <x v="1"/>
    <x v="0"/>
    <n v="5000000"/>
  </r>
  <r>
    <s v="E1175"/>
    <s v="Balapati Prasetya"/>
    <s v="BANDUNG"/>
    <s v="Karyawan Tetap"/>
    <d v="2014-06-02T00:00:00"/>
    <s v="Islam"/>
    <s v="M"/>
    <s v="BANDUNG"/>
    <d v="1975-10-16T00:00:00"/>
    <n v="0.67"/>
    <n v="50"/>
    <s v="Ya"/>
    <x v="1"/>
    <x v="1"/>
    <n v="7000000"/>
  </r>
  <r>
    <s v="N1378"/>
    <s v="Eja Widodo"/>
    <s v="JAKARTA"/>
    <s v="Kontrak"/>
    <d v="2016-01-11T00:00:00"/>
    <s v="Islam"/>
    <s v="M"/>
    <s v="BANDUNG"/>
    <d v="1993-05-30T00:00:00"/>
    <n v="0.6"/>
    <n v="32"/>
    <s v="Tidak"/>
    <x v="1"/>
    <x v="2"/>
    <n v="4000000"/>
  </r>
  <r>
    <s v="E2890"/>
    <s v="Prabu Haryanto"/>
    <s v="JAKARTA"/>
    <s v="Karyawan Tetap"/>
    <d v="2023-02-20T00:00:00"/>
    <s v="Islam"/>
    <s v="M"/>
    <s v="PACITAN"/>
    <d v="1994-12-16T00:00:00"/>
    <n v="0.81"/>
    <n v="31"/>
    <s v="Tidak"/>
    <x v="0"/>
    <x v="0"/>
    <n v="5000000"/>
  </r>
  <r>
    <s v="E0967"/>
    <s v="Cayadi Putra"/>
    <s v="SURABAYA"/>
    <s v="Karyawan Tetap"/>
    <d v="2006-10-09T00:00:00"/>
    <s v="Islam"/>
    <s v="M"/>
    <s v="SURABAYA"/>
    <d v="1985-01-13T00:00:00"/>
    <n v="0.6"/>
    <n v="40"/>
    <s v="Tidak"/>
    <x v="1"/>
    <x v="2"/>
    <n v="4000000"/>
  </r>
  <r>
    <s v="N1660"/>
    <s v="Gambira Pranowo"/>
    <s v="JAKARTA"/>
    <s v="Kontrak"/>
    <d v="2017-02-01T00:00:00"/>
    <s v="Islam"/>
    <s v="M"/>
    <s v="JAKARTA"/>
    <d v="1986-10-16T00:00:00"/>
    <n v="0.83"/>
    <n v="39"/>
    <s v="Tidak"/>
    <x v="0"/>
    <x v="2"/>
    <n v="4000000"/>
  </r>
  <r>
    <s v="E1806"/>
    <s v="Salman Wasita"/>
    <s v="JAKARTA"/>
    <s v="Karyawan Tetap"/>
    <d v="2017-12-18T00:00:00"/>
    <s v="Islam"/>
    <s v="M"/>
    <s v="JAKARTA"/>
    <d v="1990-06-19T00:00:00"/>
    <n v="0.84"/>
    <n v="35"/>
    <s v="Tidak"/>
    <x v="0"/>
    <x v="5"/>
    <n v="12000000"/>
  </r>
  <r>
    <s v="E1036"/>
    <s v="Wardaya Dongoran"/>
    <s v="BANDUNG"/>
    <s v="Karyawan Tetap"/>
    <d v="2008-07-28T00:00:00"/>
    <s v="Islam"/>
    <s v="M"/>
    <s v="JAKARTA"/>
    <d v="1984-11-30T00:00:00"/>
    <n v="0.66"/>
    <n v="41"/>
    <s v="Tidak"/>
    <x v="1"/>
    <x v="5"/>
    <n v="12000000"/>
  </r>
  <r>
    <s v="N2183"/>
    <s v="Kania Permata"/>
    <s v="JAKARTA"/>
    <s v="Kontrak"/>
    <d v="2020-01-13T00:00:00"/>
    <s v="Islam"/>
    <s v="F"/>
    <s v="TEGAL"/>
    <d v="1998-05-29T00:00:00"/>
    <n v="0.77"/>
    <n v="27"/>
    <s v="Tidak"/>
    <x v="0"/>
    <x v="1"/>
    <n v="7000000"/>
  </r>
  <r>
    <s v="N1723"/>
    <s v="Eva Yolanda"/>
    <s v="BANDUNG"/>
    <s v="Kontrak"/>
    <d v="2017-07-11T00:00:00"/>
    <s v="Islam"/>
    <s v="F"/>
    <s v="CIMAHI"/>
    <d v="1985-02-11T00:00:00"/>
    <n v="0.79"/>
    <n v="40"/>
    <s v="Tidak"/>
    <x v="0"/>
    <x v="1"/>
    <n v="7000000"/>
  </r>
  <r>
    <s v="N1583"/>
    <s v="Amalia Yuniar"/>
    <s v="JAKARTA"/>
    <s v="Kontrak"/>
    <d v="2016-08-26T00:00:00"/>
    <s v="Islam"/>
    <s v="F"/>
    <s v="JAKARTA"/>
    <d v="1993-01-15T00:00:00"/>
    <n v="0.64"/>
    <n v="32"/>
    <s v="Tidak"/>
    <x v="1"/>
    <x v="3"/>
    <n v="25000000"/>
  </r>
  <r>
    <s v="E1512"/>
    <s v="Ade Rahayu"/>
    <s v="JAKARTA"/>
    <s v="Karyawan Tetap"/>
    <d v="2016-04-15T00:00:00"/>
    <s v="Islam"/>
    <s v="F"/>
    <s v="MAKASAR"/>
    <d v="1990-03-28T00:00:00"/>
    <n v="0.85"/>
    <n v="35"/>
    <s v="Tidak"/>
    <x v="0"/>
    <x v="4"/>
    <n v="18000000"/>
  </r>
  <r>
    <s v="E2536"/>
    <s v="Zizi Usada"/>
    <s v="JAKARTA"/>
    <s v="Karyawan Tetap"/>
    <d v="2021-11-01T00:00:00"/>
    <s v="Katolik"/>
    <s v="F"/>
    <s v="BEKASI"/>
    <d v="1994-11-08T00:00:00"/>
    <n v="0.87"/>
    <n v="31"/>
    <s v="Tidak"/>
    <x v="0"/>
    <x v="4"/>
    <n v="18000000"/>
  </r>
  <r>
    <s v="E1062"/>
    <s v="Gaduh Pratama"/>
    <s v="JAKARTA"/>
    <s v="Karyawan Tetap"/>
    <d v="2010-07-12T00:00:00"/>
    <s v="Islam"/>
    <s v="M"/>
    <s v="PADANG"/>
    <d v="1982-04-23T00:00:00"/>
    <n v="0.88"/>
    <n v="43"/>
    <s v="Tidak"/>
    <x v="0"/>
    <x v="4"/>
    <n v="18000000"/>
  </r>
  <r>
    <s v="E1162"/>
    <s v="Laras Nuraini"/>
    <s v="JAKARTA"/>
    <s v="Karyawan Tetap"/>
    <d v="2014-04-21T00:00:00"/>
    <s v="Islam"/>
    <s v="F"/>
    <s v="JAKARTA"/>
    <d v="1992-03-10T00:00:00"/>
    <n v="0.8"/>
    <n v="33"/>
    <s v="Tidak"/>
    <x v="0"/>
    <x v="4"/>
    <n v="18000000"/>
  </r>
  <r>
    <s v="E1182"/>
    <s v="Cinthia Gunawan"/>
    <s v="JAKARTA"/>
    <s v="Karyawan Tetap"/>
    <d v="2015-09-01T00:00:00"/>
    <s v="Katolik"/>
    <s v="F"/>
    <s v="TEBING TINGGI"/>
    <d v="1973-11-26T00:00:00"/>
    <n v="0.84"/>
    <n v="52"/>
    <s v="Ya"/>
    <x v="0"/>
    <x v="1"/>
    <n v="7000000"/>
  </r>
  <r>
    <s v="E1922"/>
    <s v="Bagiya Sihombing"/>
    <s v="JAKARTA"/>
    <s v="Karyawan Tetap"/>
    <d v="2018-08-20T00:00:00"/>
    <s v="Islam"/>
    <s v="F"/>
    <s v="JAKARTA"/>
    <d v="1994-12-02T00:00:00"/>
    <n v="0.97"/>
    <n v="31"/>
    <s v="Tidak"/>
    <x v="0"/>
    <x v="1"/>
    <n v="7000000"/>
  </r>
  <r>
    <s v="E1735"/>
    <s v="Violet Mentari"/>
    <s v="SURABAYA"/>
    <s v="Karyawan Tetap"/>
    <d v="2017-08-14T00:00:00"/>
    <s v="Islam"/>
    <s v="F"/>
    <s v="BANYUWANGI"/>
    <d v="1990-09-07T00:00:00"/>
    <n v="0.78"/>
    <n v="35"/>
    <s v="Tidak"/>
    <x v="0"/>
    <x v="1"/>
    <n v="7000000"/>
  </r>
  <r>
    <s v="N2168"/>
    <s v="Paiman Firgantoro"/>
    <s v="JAKARTA"/>
    <s v="Kontrak"/>
    <d v="2019-12-09T00:00:00"/>
    <s v="Islam"/>
    <s v="M"/>
    <s v="JAKARTA"/>
    <d v="1988-12-09T00:00:00"/>
    <n v="0.87"/>
    <n v="37"/>
    <s v="Tidak"/>
    <x v="0"/>
    <x v="3"/>
    <n v="25000000"/>
  </r>
  <r>
    <s v="E1016"/>
    <s v="Ophelia Mustofa"/>
    <s v="MEDAN"/>
    <s v="Karyawan Tetap"/>
    <d v="2008-01-02T00:00:00"/>
    <s v="Islam"/>
    <s v="M"/>
    <s v="MEDAN"/>
    <d v="1982-10-28T00:00:00"/>
    <n v="0.79"/>
    <n v="43"/>
    <s v="Tidak"/>
    <x v="0"/>
    <x v="0"/>
    <n v="5000000"/>
  </r>
  <r>
    <s v="E2527"/>
    <s v="Darmanto Laksita"/>
    <s v="SURABAYA"/>
    <s v="Karyawan Tetap"/>
    <d v="2021-09-20T00:00:00"/>
    <s v="Islam"/>
    <s v="F"/>
    <s v="SURABAYA"/>
    <d v="1993-10-01T00:00:00"/>
    <n v="0.6"/>
    <n v="32"/>
    <s v="Tidak"/>
    <x v="1"/>
    <x v="1"/>
    <n v="7000000"/>
  </r>
  <r>
    <s v="E1900"/>
    <s v="Kenari Rajasa"/>
    <s v="JAKARTA"/>
    <s v="Karyawan Tetap"/>
    <d v="2018-08-01T00:00:00"/>
    <s v="Islam"/>
    <s v="F"/>
    <s v="PEKALONGAN"/>
    <d v="1987-01-22T00:00:00"/>
    <n v="0.74"/>
    <n v="38"/>
    <s v="Tidak"/>
    <x v="0"/>
    <x v="0"/>
    <n v="5000000"/>
  </r>
  <r>
    <s v="E1909"/>
    <s v="Puti Nadine Prakasa"/>
    <s v="JAKARTA"/>
    <s v="Karyawan Tetap"/>
    <d v="2018-08-01T00:00:00"/>
    <s v="Islam"/>
    <s v="F"/>
    <s v="PEKALONGAN"/>
    <d v="1987-01-22T00:00:00"/>
    <n v="0.88"/>
    <n v="38"/>
    <s v="Tidak"/>
    <x v="0"/>
    <x v="2"/>
    <n v="4000000"/>
  </r>
  <r>
    <s v="N2857"/>
    <s v="Clara Prasetyo"/>
    <s v="JAKARTA"/>
    <s v="Kontrak"/>
    <d v="2022-12-21T00:00:00"/>
    <s v="Islam"/>
    <s v="F"/>
    <s v="BOGOR"/>
    <d v="2000-06-16T00:00:00"/>
    <n v="0.66"/>
    <n v="25"/>
    <s v="Tidak"/>
    <x v="1"/>
    <x v="0"/>
    <n v="5000000"/>
  </r>
  <r>
    <s v="N2139"/>
    <s v="Nabila Prakasa"/>
    <s v="JAKARTA"/>
    <s v="Kontrak"/>
    <d v="2019-10-21T00:00:00"/>
    <s v="Islam"/>
    <s v="F"/>
    <s v="JAKARTA"/>
    <d v="1996-07-19T00:00:00"/>
    <n v="0.87"/>
    <n v="29"/>
    <s v="Tidak"/>
    <x v="0"/>
    <x v="0"/>
    <n v="5000000"/>
  </r>
  <r>
    <s v="N1568"/>
    <s v="Sutan Tirtayasa Wasita"/>
    <s v="JAKARTA"/>
    <s v="Kontrak"/>
    <d v="2016-08-01T00:00:00"/>
    <s v="Islam"/>
    <s v="F"/>
    <s v="JAKARTA"/>
    <d v="1994-12-07T00:00:00"/>
    <n v="0.82"/>
    <n v="31"/>
    <s v="Tidak"/>
    <x v="0"/>
    <x v="2"/>
    <n v="4000000"/>
  </r>
  <r>
    <s v="N1713"/>
    <s v="Sari Winarno"/>
    <s v="JAKARTA"/>
    <s v="Kontrak"/>
    <d v="2017-07-10T00:00:00"/>
    <s v="Islam"/>
    <s v="F"/>
    <s v="JAKARTA"/>
    <d v="1986-02-24T00:00:00"/>
    <n v="0.61"/>
    <n v="39"/>
    <s v="Tidak"/>
    <x v="1"/>
    <x v="2"/>
    <n v="40000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s v="N1707"/>
    <s v="Dewi Kartini"/>
    <s v="JAKARTA"/>
    <s v="Kontrak"/>
    <d v="2017-07-04T00:00:00"/>
    <s v="Kristen"/>
    <s v="F"/>
    <s v="JAKARTA PUSAT"/>
    <d v="1987-11-08T00:00:00"/>
    <n v="0.99"/>
    <n v="38"/>
    <s v="Tidak"/>
    <s v="Good"/>
    <x v="0"/>
    <n v="5000000"/>
    <n v="1"/>
    <n v="5000000"/>
  </r>
  <r>
    <s v="N2498"/>
    <s v="Siti Rahayu"/>
    <s v="JAKARTA"/>
    <s v="Kontrak"/>
    <d v="2021-08-09T00:00:00"/>
    <s v="Islam"/>
    <s v="F"/>
    <s v="BANDUNG"/>
    <d v="1992-04-18T00:00:00"/>
    <n v="0.77"/>
    <n v="33"/>
    <s v="Tidak"/>
    <s v="Good"/>
    <x v="0"/>
    <n v="5000000"/>
    <n v="1"/>
    <n v="0"/>
  </r>
  <r>
    <s v="E2513"/>
    <s v="Lina Puspitasari"/>
    <s v="JAKARTA"/>
    <s v="Karyawan Tetap"/>
    <d v="2021-08-16T00:00:00"/>
    <s v="Islam"/>
    <s v="F"/>
    <s v="BOGOR"/>
    <d v="1995-03-10T00:00:00"/>
    <n v="0.7"/>
    <n v="30"/>
    <s v="Tidak"/>
    <s v="Good"/>
    <x v="1"/>
    <n v="7000000"/>
    <n v="1"/>
    <n v="0"/>
  </r>
  <r>
    <s v="N1674"/>
    <s v="Ratna Kusuma"/>
    <s v="JAKARTA"/>
    <s v="Kontrak"/>
    <d v="2017-03-06T00:00:00"/>
    <s v="Islam"/>
    <s v="F"/>
    <s v="JAKARTA"/>
    <d v="1991-11-27T00:00:00"/>
    <n v="0.6"/>
    <n v="34"/>
    <s v="Tidak"/>
    <s v="Poor"/>
    <x v="2"/>
    <n v="4000000"/>
    <n v="1"/>
    <n v="0"/>
  </r>
  <r>
    <s v="E2640"/>
    <s v="Chicco Jerikho"/>
    <s v="JAKARTA"/>
    <s v="Karyawan Tetap"/>
    <d v="2022-06-06T00:00:00"/>
    <s v="Kristen"/>
    <s v="M"/>
    <s v="LAMPUNG"/>
    <d v="1996-05-11T00:00:00"/>
    <n v="0.7"/>
    <n v="29"/>
    <s v="Tidak"/>
    <s v="Good"/>
    <x v="3"/>
    <n v="25000000"/>
    <n v="2"/>
    <n v="0"/>
  </r>
  <r>
    <s v="N2016"/>
    <s v="Arifin Sutedjo"/>
    <s v="JAKARTA"/>
    <s v="Kontrak"/>
    <d v="2019-01-14T00:00:00"/>
    <s v="Islam"/>
    <s v="M"/>
    <s v="JAKARTA"/>
    <d v="1993-12-04T00:00:00"/>
    <n v="0.67"/>
    <n v="32"/>
    <s v="Tidak"/>
    <s v="Poor"/>
    <x v="2"/>
    <n v="4000000"/>
    <n v="1"/>
    <n v="0"/>
  </r>
  <r>
    <s v="E2054"/>
    <s v="Agus Suharto"/>
    <s v="JAKARTA"/>
    <s v="Karyawan Tetap"/>
    <d v="2019-04-22T00:00:00"/>
    <s v="Islam"/>
    <s v="M"/>
    <s v="PURBALINGGA"/>
    <d v="1994-09-23T00:00:00"/>
    <n v="0.63"/>
    <n v="31"/>
    <s v="Tidak"/>
    <s v="Poor"/>
    <x v="4"/>
    <n v="18000000"/>
    <n v="2"/>
    <n v="0"/>
  </r>
  <r>
    <s v="E1881"/>
    <s v="Lita Damayanti"/>
    <s v="JAKARTA"/>
    <s v="Karyawan Tetap"/>
    <d v="2018-06-25T00:00:00"/>
    <s v="Islam"/>
    <s v="F"/>
    <s v="TANGERANG"/>
    <d v="1993-12-14T00:00:00"/>
    <n v="0.79"/>
    <n v="32"/>
    <s v="Tidak"/>
    <s v="Good"/>
    <x v="2"/>
    <n v="4000000"/>
    <n v="1"/>
    <n v="0"/>
  </r>
  <r>
    <s v="E2161"/>
    <s v="Eko Pramono"/>
    <s v="JAKARTA"/>
    <s v="Karyawan Tetap"/>
    <d v="2019-12-02T00:00:00"/>
    <s v="Islam"/>
    <s v="M"/>
    <s v="JAKARTA"/>
    <d v="1994-04-04T00:00:00"/>
    <n v="0.94"/>
    <n v="31"/>
    <s v="Tidak"/>
    <s v="Good"/>
    <x v="4"/>
    <n v="18000000"/>
    <n v="2"/>
    <n v="36000000"/>
  </r>
  <r>
    <s v="N2031"/>
    <s v="Lina Handayani"/>
    <s v="JAKARTA"/>
    <s v="Kontrak"/>
    <d v="2019-03-04T00:00:00"/>
    <s v="Islam"/>
    <s v="F"/>
    <s v="BANDUNG"/>
    <d v="1990-11-12T00:00:00"/>
    <n v="0.62"/>
    <n v="35"/>
    <s v="Tidak"/>
    <s v="Poor"/>
    <x v="2"/>
    <n v="4000000"/>
    <n v="1"/>
    <n v="0"/>
  </r>
  <r>
    <s v="N1173"/>
    <s v="Chicco Kurniawan"/>
    <s v="JAKARTA"/>
    <s v="Kontrak"/>
    <d v="2014-06-02T00:00:00"/>
    <s v="Islam"/>
    <s v="M"/>
    <s v="JAKARTA"/>
    <d v="1990-03-18T00:00:00"/>
    <n v="0.69"/>
    <n v="35"/>
    <s v="Tidak"/>
    <s v="Poor"/>
    <x v="2"/>
    <n v="4000000"/>
    <n v="1"/>
    <n v="0"/>
  </r>
  <r>
    <s v="E1005"/>
    <s v="Yanto Setiawan"/>
    <s v="JAKARTA"/>
    <s v="Karyawan Tetap"/>
    <d v="2007-08-01T00:00:00"/>
    <s v="Islam"/>
    <s v="M"/>
    <s v="TASIKMALAYA"/>
    <d v="1979-03-02T00:00:00"/>
    <n v="0.84"/>
    <n v="46"/>
    <s v="Tidak"/>
    <s v="Good"/>
    <x v="0"/>
    <n v="5000000"/>
    <n v="1"/>
    <n v="0"/>
  </r>
  <r>
    <s v="E1063"/>
    <s v="Joko Nugroho"/>
    <s v="JAKARTA"/>
    <s v="Karyawan Tetap"/>
    <d v="2010-10-01T00:00:00"/>
    <s v="Islam"/>
    <s v="M"/>
    <s v="JAKARTA"/>
    <d v="1985-09-01T00:00:00"/>
    <n v="0.7"/>
    <n v="40"/>
    <s v="Tidak"/>
    <s v="Good"/>
    <x v="1"/>
    <n v="7000000"/>
    <n v="1"/>
    <n v="0"/>
  </r>
  <r>
    <s v="E1974"/>
    <s v="Arianto Wibowo"/>
    <s v="MEDAN"/>
    <s v="Karyawan Tetap"/>
    <d v="2018-11-01T00:00:00"/>
    <s v="Islam"/>
    <s v="M"/>
    <s v="JAKARTA"/>
    <d v="1989-02-04T00:00:00"/>
    <n v="0.84"/>
    <n v="36"/>
    <s v="Tidak"/>
    <s v="Good"/>
    <x v="0"/>
    <n v="5000000"/>
    <n v="1"/>
    <n v="0"/>
  </r>
  <r>
    <s v="E0828"/>
    <s v="Erwin Gutawa"/>
    <s v="JAKARTA"/>
    <s v="Karyawan Tetap"/>
    <d v="2000-08-01T00:00:00"/>
    <s v="Islam"/>
    <s v="M"/>
    <s v="BATANG"/>
    <d v="1975-03-10T00:00:00"/>
    <n v="0.89"/>
    <n v="50"/>
    <s v="Ya"/>
    <s v="Good"/>
    <x v="3"/>
    <n v="25000000"/>
    <n v="2"/>
    <n v="0"/>
  </r>
  <r>
    <s v="E1054"/>
    <s v="Aliando Syarief"/>
    <s v="JAKARTA"/>
    <s v="Karyawan Tetap"/>
    <d v="2009-11-09T00:00:00"/>
    <s v="Islam"/>
    <s v="M"/>
    <s v="TANGERANG"/>
    <d v="1984-12-26T00:00:00"/>
    <n v="1"/>
    <n v="41"/>
    <s v="Tidak"/>
    <s v="Good"/>
    <x v="4"/>
    <n v="18000000"/>
    <n v="2"/>
    <n v="36000000"/>
  </r>
  <r>
    <s v="E1703"/>
    <s v="Tuti Rahmawati"/>
    <s v="JAKARTA"/>
    <s v="Karyawan Tetap"/>
    <d v="2017-06-14T00:00:00"/>
    <s v="Islam"/>
    <s v="F"/>
    <s v="KARANGANYAR"/>
    <d v="1984-07-23T00:00:00"/>
    <n v="0.85"/>
    <n v="41"/>
    <s v="Tidak"/>
    <s v="Good"/>
    <x v="3"/>
    <n v="25000000"/>
    <n v="2"/>
    <n v="0"/>
  </r>
  <r>
    <s v="E2840"/>
    <s v="Eko Sutomo"/>
    <s v="JAKARTA"/>
    <s v="Karyawan Tetap"/>
    <d v="2022-12-05T00:00:00"/>
    <s v="Kristen"/>
    <s v="M"/>
    <s v="TOMOHON"/>
    <d v="1986-06-04T00:00:00"/>
    <n v="0.68"/>
    <n v="39"/>
    <s v="Tidak"/>
    <s v="Poor"/>
    <x v="4"/>
    <n v="18000000"/>
    <n v="2"/>
    <n v="0"/>
  </r>
  <r>
    <s v="E1861"/>
    <s v="Rina Kurniati"/>
    <s v="JAKARTA"/>
    <s v="Karyawan Tetap"/>
    <d v="2018-04-16T00:00:00"/>
    <s v="Islam"/>
    <s v="F"/>
    <s v="JAKARTA"/>
    <d v="1994-03-01T00:00:00"/>
    <n v="0.64"/>
    <n v="31"/>
    <s v="Tidak"/>
    <s v="Poor"/>
    <x v="5"/>
    <n v="12000000"/>
    <n v="2"/>
    <n v="0"/>
  </r>
  <r>
    <s v="N1860"/>
    <s v="Arif Setiawan"/>
    <s v="JAKARTA"/>
    <s v="Kontrak"/>
    <d v="2018-04-16T00:00:00"/>
    <s v="Islam"/>
    <s v="M"/>
    <s v="JAKARTA"/>
    <d v="1994-03-01T00:00:00"/>
    <n v="0.81"/>
    <n v="31"/>
    <s v="Tidak"/>
    <s v="Good"/>
    <x v="1"/>
    <n v="7000000"/>
    <n v="1"/>
    <n v="0"/>
  </r>
  <r>
    <s v="N0951"/>
    <s v="Choky Sitohang"/>
    <s v="JAKARTA"/>
    <s v="Kontrak"/>
    <d v="2006-07-24T00:00:00"/>
    <s v="Islam"/>
    <s v="M"/>
    <s v="BLITAR"/>
    <d v="1983-02-17T00:00:00"/>
    <n v="0.73"/>
    <n v="42"/>
    <s v="Tidak"/>
    <s v="Good"/>
    <x v="1"/>
    <n v="7000000"/>
    <n v="1"/>
    <n v="0"/>
  </r>
  <r>
    <s v="E2575"/>
    <s v="Retno Cahyani"/>
    <s v="JAKARTA"/>
    <s v="Karyawan Tetap"/>
    <d v="2022-01-10T00:00:00"/>
    <s v="Islam"/>
    <s v="F"/>
    <s v="PALEMBANG"/>
    <d v="1996-10-17T00:00:00"/>
    <n v="0.93"/>
    <n v="29"/>
    <s v="Tidak"/>
    <s v="Good"/>
    <x v="0"/>
    <n v="5000000"/>
    <n v="1"/>
    <n v="5000000"/>
  </r>
  <r>
    <s v="N2619"/>
    <s v="Benyamin Sueb"/>
    <s v="JAKARTA"/>
    <s v="Kontrak"/>
    <d v="2022-05-10T00:00:00"/>
    <s v="Kristen"/>
    <s v="M"/>
    <s v="JAKARTA"/>
    <d v="1985-01-19T00:00:00"/>
    <n v="0.71"/>
    <n v="40"/>
    <s v="Tidak"/>
    <s v="Good"/>
    <x v="3"/>
    <n v="25000000"/>
    <n v="2"/>
    <n v="0"/>
  </r>
  <r>
    <s v="E2321"/>
    <s v="Rudi Haryanto"/>
    <s v="MEDAN"/>
    <s v="Karyawan Tetap"/>
    <d v="2020-07-01T00:00:00"/>
    <s v="Islam"/>
    <s v="M"/>
    <s v="JAKARTA"/>
    <d v="1987-03-13T00:00:00"/>
    <n v="0.86"/>
    <n v="38"/>
    <s v="Tidak"/>
    <s v="Good"/>
    <x v="3"/>
    <n v="25000000"/>
    <n v="2"/>
    <n v="0"/>
  </r>
  <r>
    <s v="E2620"/>
    <s v="Alvaro Maldini"/>
    <s v="JAKARTA"/>
    <s v="Karyawan Tetap"/>
    <d v="2022-05-09T00:00:00"/>
    <s v="Islam"/>
    <s v="M"/>
    <s v="KUNINGAN"/>
    <d v="1996-01-16T00:00:00"/>
    <n v="0.89"/>
    <n v="29"/>
    <s v="Tidak"/>
    <s v="Good"/>
    <x v="0"/>
    <n v="5000000"/>
    <n v="1"/>
    <n v="0"/>
  </r>
  <r>
    <s v="E1690"/>
    <s v="Wati Sulistiani"/>
    <s v="JAKARTA"/>
    <s v="Karyawan Tetap"/>
    <d v="2017-05-15T00:00:00"/>
    <s v="Islam"/>
    <s v="F"/>
    <s v="JAKARTA"/>
    <d v="1993-03-24T00:00:00"/>
    <n v="0.98"/>
    <n v="32"/>
    <s v="Tidak"/>
    <s v="Good"/>
    <x v="1"/>
    <n v="7000000"/>
    <n v="1"/>
    <n v="7000000"/>
  </r>
  <r>
    <s v="E1064"/>
    <s v="Budi Santoso"/>
    <s v="JAKARTA"/>
    <s v="Karyawan Tetap"/>
    <d v="2010-10-01T00:00:00"/>
    <s v="Islam"/>
    <s v="M"/>
    <s v="INDRAMAYU"/>
    <d v="1984-12-03T00:00:00"/>
    <n v="0.97"/>
    <n v="41"/>
    <s v="Tidak"/>
    <s v="Good"/>
    <x v="4"/>
    <n v="18000000"/>
    <n v="2"/>
    <n v="36000000"/>
  </r>
  <r>
    <s v="E1065"/>
    <s v="Indah Wulandari"/>
    <s v="JAKARTA"/>
    <s v="Karyawan Tetap"/>
    <d v="2010-10-01T00:00:00"/>
    <s v="Islam"/>
    <s v="F"/>
    <s v="MEDAN"/>
    <d v="1979-06-02T00:00:00"/>
    <n v="0.87"/>
    <n v="46"/>
    <s v="Tidak"/>
    <s v="Good"/>
    <x v="1"/>
    <n v="7000000"/>
    <n v="1"/>
    <n v="0"/>
  </r>
  <r>
    <s v="E1841"/>
    <s v="Dodit Mulyanto"/>
    <s v="JAKARTA"/>
    <s v="Karyawan Tetap"/>
    <d v="2018-03-05T00:00:00"/>
    <s v="Islam"/>
    <s v="M"/>
    <s v="JAKARTA"/>
    <d v="1986-11-12T00:00:00"/>
    <n v="0.96"/>
    <n v="39"/>
    <s v="Tidak"/>
    <s v="Good"/>
    <x v="0"/>
    <n v="5000000"/>
    <n v="1"/>
    <n v="5000000"/>
  </r>
  <r>
    <s v="E2867"/>
    <s v="Putri Sari"/>
    <s v="JAKARTA"/>
    <s v="Karyawan Tetap"/>
    <d v="2023-01-02T00:00:00"/>
    <s v="Islam"/>
    <s v="F"/>
    <s v="TASIKMALAYA"/>
    <d v="1996-08-24T00:00:00"/>
    <n v="0.85"/>
    <n v="29"/>
    <s v="Tidak"/>
    <s v="Good"/>
    <x v="0"/>
    <n v="5000000"/>
    <n v="1"/>
    <n v="0"/>
  </r>
  <r>
    <s v="N1720"/>
    <s v="Al Ghazali"/>
    <s v="JAKARTA"/>
    <s v="Kontrak"/>
    <d v="2017-07-17T00:00:00"/>
    <s v="Islam"/>
    <s v="M"/>
    <s v="TRENGGALEK"/>
    <d v="1988-08-15T00:00:00"/>
    <n v="0.74"/>
    <n v="37"/>
    <s v="Tidak"/>
    <s v="Good"/>
    <x v="3"/>
    <n v="25000000"/>
    <n v="2"/>
    <n v="0"/>
  </r>
  <r>
    <s v="E1880"/>
    <s v="Retno Sulistyowati"/>
    <s v="JAKARTA"/>
    <s v="Karyawan Tetap"/>
    <d v="2018-06-21T00:00:00"/>
    <s v="Islam"/>
    <s v="F"/>
    <s v="BANDUNG"/>
    <d v="1989-02-05T00:00:00"/>
    <n v="0.77"/>
    <n v="36"/>
    <s v="Tidak"/>
    <s v="Good"/>
    <x v="4"/>
    <n v="18000000"/>
    <n v="2"/>
    <n v="0"/>
  </r>
  <r>
    <s v="E1929"/>
    <s v="Alvin Adam"/>
    <s v="JAKARTA"/>
    <s v="Karyawan Tetap"/>
    <d v="2018-09-03T00:00:00"/>
    <s v="Islam"/>
    <s v="M"/>
    <s v="GROBOGAN"/>
    <d v="1995-02-10T00:00:00"/>
    <n v="0.62"/>
    <n v="30"/>
    <s v="Tidak"/>
    <s v="Poor"/>
    <x v="2"/>
    <n v="4000000"/>
    <n v="1"/>
    <n v="0"/>
  </r>
  <r>
    <s v="E0911"/>
    <s v="Nita Permata"/>
    <s v="BANDUNG"/>
    <s v="Karyawan Tetap"/>
    <d v="2005-07-01T00:00:00"/>
    <s v="Islam"/>
    <s v="M"/>
    <s v="SIDOARJO"/>
    <d v="1980-09-05T00:00:00"/>
    <n v="0.91"/>
    <n v="45"/>
    <s v="Tidak"/>
    <s v="Good"/>
    <x v="1"/>
    <n v="7000000"/>
    <n v="1"/>
    <n v="7000000"/>
  </r>
  <r>
    <s v="E2170"/>
    <s v="Bertrand Antolin"/>
    <s v="JAKARTA"/>
    <s v="Karyawan Tetap"/>
    <d v="2019-12-09T00:00:00"/>
    <s v="Islam"/>
    <s v="M"/>
    <s v="JAKARTA"/>
    <d v="1996-03-30T00:00:00"/>
    <n v="0.61"/>
    <n v="29"/>
    <s v="Tidak"/>
    <s v="Poor"/>
    <x v="1"/>
    <n v="7000000"/>
    <n v="1"/>
    <n v="0"/>
  </r>
  <r>
    <s v="E1111"/>
    <s v="Wulan Puspita"/>
    <s v="JAKARTA"/>
    <s v="Karyawan Tetap"/>
    <d v="2012-09-17T00:00:00"/>
    <s v="Islam"/>
    <s v="F"/>
    <s v="BANDUNG"/>
    <d v="1985-10-14T00:00:00"/>
    <n v="0.84"/>
    <n v="40"/>
    <s v="Tidak"/>
    <s v="Good"/>
    <x v="5"/>
    <n v="12000000"/>
    <n v="2"/>
    <n v="0"/>
  </r>
  <r>
    <s v="E1081"/>
    <s v="Maya Wati"/>
    <s v="JAKARTA"/>
    <s v="Karyawan Tetap"/>
    <d v="2012-01-02T00:00:00"/>
    <s v="Islam"/>
    <s v="F"/>
    <s v="TAMAN SARI"/>
    <d v="1989-04-20T00:00:00"/>
    <n v="0.76"/>
    <n v="36"/>
    <s v="Tidak"/>
    <s v="Good"/>
    <x v="1"/>
    <n v="7000000"/>
    <n v="1"/>
    <n v="0"/>
  </r>
  <r>
    <s v="E2134"/>
    <s v="Aaron Ashab"/>
    <s v="JAKARTA"/>
    <s v="Karyawan Tetap"/>
    <d v="2019-10-10T00:00:00"/>
    <s v="Islam"/>
    <s v="M"/>
    <s v="PADANG"/>
    <d v="1990-07-07T00:00:00"/>
    <n v="0.89"/>
    <n v="35"/>
    <s v="Tidak"/>
    <s v="Good"/>
    <x v="2"/>
    <n v="4000000"/>
    <n v="1"/>
    <n v="0"/>
  </r>
  <r>
    <s v="N2584"/>
    <s v="Surya Permana"/>
    <s v="MALANG"/>
    <s v="Kontrak"/>
    <d v="2022-02-02T00:00:00"/>
    <s v="Islam"/>
    <s v="M"/>
    <s v="MALANG"/>
    <d v="1991-07-07T00:00:00"/>
    <n v="0.73"/>
    <n v="34"/>
    <s v="Tidak"/>
    <s v="Good"/>
    <x v="1"/>
    <n v="7000000"/>
    <n v="1"/>
    <n v="0"/>
  </r>
  <r>
    <s v="N2583"/>
    <s v="Retno Purnomo"/>
    <s v="MALANG"/>
    <s v="Kontrak"/>
    <d v="2022-02-02T00:00:00"/>
    <s v="Islam"/>
    <s v="F"/>
    <s v="MALANG"/>
    <d v="1991-07-07T00:00:00"/>
    <n v="0.8"/>
    <n v="34"/>
    <s v="Tidak"/>
    <s v="Good"/>
    <x v="1"/>
    <n v="7000000"/>
    <n v="1"/>
    <n v="0"/>
  </r>
  <r>
    <s v="N1453"/>
    <s v="Joko Susanto"/>
    <s v="JAKARTA"/>
    <s v="Kontrak"/>
    <d v="2016-02-01T00:00:00"/>
    <s v="Islam"/>
    <s v="M"/>
    <s v="BANYUWANGI"/>
    <d v="1980-02-25T00:00:00"/>
    <n v="0.73"/>
    <n v="45"/>
    <s v="Tidak"/>
    <s v="Good"/>
    <x v="6"/>
    <n v="40000000"/>
    <n v="2"/>
    <n v="0"/>
  </r>
  <r>
    <s v="E1491"/>
    <s v="Donny Alamsyah"/>
    <s v="JAKARTA"/>
    <s v="Karyawan Tetap"/>
    <d v="2016-02-10T00:00:00"/>
    <s v="Islam"/>
    <s v="M"/>
    <s v="JAKARTA"/>
    <d v="1989-03-16T00:00:00"/>
    <n v="0.84"/>
    <n v="36"/>
    <s v="Tidak"/>
    <s v="Good"/>
    <x v="2"/>
    <n v="4000000"/>
    <n v="1"/>
    <n v="0"/>
  </r>
  <r>
    <s v="E1490"/>
    <s v="Nia Fitriani"/>
    <s v="JAKARTA"/>
    <s v="Karyawan Tetap"/>
    <d v="2016-02-10T00:00:00"/>
    <s v="Islam"/>
    <s v="F"/>
    <s v="JAKARTA"/>
    <d v="1989-03-16T00:00:00"/>
    <n v="1"/>
    <n v="36"/>
    <s v="Tidak"/>
    <s v="Good"/>
    <x v="0"/>
    <n v="5000000"/>
    <n v="1"/>
    <n v="5000000"/>
  </r>
  <r>
    <s v="E2201"/>
    <s v="Astuti Hartati"/>
    <s v="JAKARTA"/>
    <s v="Karyawan Tetap"/>
    <d v="2020-01-20T00:00:00"/>
    <s v="Islam"/>
    <s v="F"/>
    <s v="BANDUNG"/>
    <d v="1992-08-21T00:00:00"/>
    <n v="0.86"/>
    <n v="33"/>
    <s v="Tidak"/>
    <s v="Good"/>
    <x v="0"/>
    <n v="5000000"/>
    <n v="1"/>
    <n v="0"/>
  </r>
  <r>
    <s v="N1134"/>
    <s v="Rizal Prasetya"/>
    <s v="DENPASAR"/>
    <s v="Kontrak"/>
    <d v="2013-02-18T00:00:00"/>
    <s v="Islam"/>
    <s v="M"/>
    <s v="JEMBER"/>
    <d v="1986-04-10T00:00:00"/>
    <n v="0.76"/>
    <n v="39"/>
    <s v="Tidak"/>
    <s v="Good"/>
    <x v="1"/>
    <n v="7000000"/>
    <n v="1"/>
    <n v="0"/>
  </r>
  <r>
    <s v="N1068"/>
    <s v="Nita Wulandari"/>
    <s v="JAKARTA"/>
    <s v="Kontrak"/>
    <d v="2011-04-11T00:00:00"/>
    <s v="Islam"/>
    <s v="F"/>
    <s v="SRAGEN"/>
    <d v="1987-03-13T00:00:00"/>
    <n v="0.95"/>
    <n v="38"/>
    <s v="Tidak"/>
    <s v="Good"/>
    <x v="1"/>
    <n v="7000000"/>
    <n v="1"/>
    <n v="7000000"/>
  </r>
  <r>
    <s v="E0896"/>
    <s v="Esa Sigit"/>
    <s v="JAKARTA"/>
    <s v="Karyawan Tetap"/>
    <d v="2004-05-10T00:00:00"/>
    <s v="Islam"/>
    <s v="M"/>
    <s v="JAKARTA"/>
    <d v="1975-08-09T00:00:00"/>
    <n v="0.73"/>
    <n v="50"/>
    <s v="Ya"/>
    <s v="Good"/>
    <x v="0"/>
    <n v="5000000"/>
    <n v="1"/>
    <n v="0"/>
  </r>
  <r>
    <s v="E0931"/>
    <s v="Rika Sari"/>
    <s v="JAKARTA"/>
    <s v="Karyawan Tetap"/>
    <d v="2006-05-01T00:00:00"/>
    <s v="Islam"/>
    <s v="M"/>
    <s v="JAKARTA"/>
    <d v="1979-02-16T00:00:00"/>
    <n v="0.87"/>
    <n v="46"/>
    <s v="Tidak"/>
    <s v="Good"/>
    <x v="2"/>
    <n v="4000000"/>
    <n v="1"/>
    <n v="0"/>
  </r>
  <r>
    <s v="E0813"/>
    <s v="Winda Pertiwi"/>
    <s v="JAKARTA"/>
    <s v="Karyawan Tetap"/>
    <d v="2000-06-01T00:00:00"/>
    <s v="Islam"/>
    <s v="F"/>
    <s v="JAKARTA"/>
    <d v="1971-11-01T00:00:00"/>
    <n v="0.71"/>
    <n v="54"/>
    <s v="Ya"/>
    <s v="Good"/>
    <x v="0"/>
    <n v="5000000"/>
    <n v="1"/>
    <n v="0"/>
  </r>
  <r>
    <s v="E3144"/>
    <s v="Agus Santoso"/>
    <s v="JAKARTA"/>
    <s v="Karyawan Tetap"/>
    <d v="2024-03-01T00:00:00"/>
    <s v="Islam"/>
    <s v="M"/>
    <s v="JAKARTA"/>
    <d v="1995-02-15T00:00:00"/>
    <n v="0.66"/>
    <n v="30"/>
    <s v="Tidak"/>
    <s v="Poor"/>
    <x v="1"/>
    <n v="7000000"/>
    <n v="1"/>
    <n v="0"/>
  </r>
  <r>
    <s v="E3143"/>
    <s v="Rudi Prasetya"/>
    <s v="JAKARTA"/>
    <s v="Karyawan Tetap"/>
    <d v="2024-03-01T00:00:00"/>
    <s v="Islam"/>
    <s v="M"/>
    <s v="JAKARTA"/>
    <d v="1995-02-15T00:00:00"/>
    <n v="0.88"/>
    <n v="30"/>
    <s v="Tidak"/>
    <s v="Good"/>
    <x v="2"/>
    <n v="4000000"/>
    <n v="1"/>
    <n v="0"/>
  </r>
  <r>
    <s v="N2114"/>
    <s v="Dedy Santoso"/>
    <s v="JAKARTA"/>
    <s v="Kontrak"/>
    <d v="2019-09-02T00:00:00"/>
    <s v="Islam"/>
    <s v="M"/>
    <s v="CILACAP"/>
    <d v="1993-08-28T00:00:00"/>
    <n v="0.91"/>
    <n v="32"/>
    <s v="Tidak"/>
    <s v="Good"/>
    <x v="0"/>
    <n v="5000000"/>
    <n v="1"/>
    <n v="5000000"/>
  </r>
  <r>
    <s v="E1885"/>
    <s v="Bagus Satria"/>
    <s v="MEDAN"/>
    <s v="Karyawan Tetap"/>
    <d v="2018-07-02T00:00:00"/>
    <s v="Islam"/>
    <s v="M"/>
    <s v="SUMATRA UTARA"/>
    <d v="1992-07-05T00:00:00"/>
    <n v="0.79"/>
    <n v="33"/>
    <s v="Tidak"/>
    <s v="Good"/>
    <x v="5"/>
    <n v="12000000"/>
    <n v="2"/>
    <n v="0"/>
  </r>
  <r>
    <s v="E2898"/>
    <s v="Ahmad Hidayat"/>
    <s v="JAKARTA"/>
    <s v="Karyawan Tetap"/>
    <d v="2023-03-20T00:00:00"/>
    <s v="Islam"/>
    <s v="M"/>
    <s v="JAKARTA"/>
    <d v="1996-10-13T00:00:00"/>
    <n v="0.76"/>
    <n v="29"/>
    <s v="Tidak"/>
    <s v="Good"/>
    <x v="2"/>
    <n v="4000000"/>
    <n v="1"/>
    <n v="0"/>
  </r>
  <r>
    <s v="N1565"/>
    <s v="Sigit Saputra"/>
    <s v="JAKARTA"/>
    <s v="Kontrak"/>
    <d v="2016-08-01T00:00:00"/>
    <s v="Islam"/>
    <s v="M"/>
    <s v="JAKARTA"/>
    <d v="1978-10-31T00:00:00"/>
    <n v="0.71"/>
    <n v="47"/>
    <s v="Tidak"/>
    <s v="Good"/>
    <x v="3"/>
    <n v="25000000"/>
    <n v="2"/>
    <n v="0"/>
  </r>
  <r>
    <s v="N2378"/>
    <s v="Agus Nugroho"/>
    <s v="JAKARTA"/>
    <s v="Kontrak"/>
    <d v="2020-10-19T00:00:00"/>
    <s v="Islam"/>
    <s v="M"/>
    <s v="JOMBANG"/>
    <d v="1996-08-03T00:00:00"/>
    <n v="0.75"/>
    <n v="29"/>
    <s v="Tidak"/>
    <s v="Good"/>
    <x v="3"/>
    <n v="25000000"/>
    <n v="2"/>
    <n v="0"/>
  </r>
  <r>
    <s v="N1191"/>
    <s v="Joko Sutrisno"/>
    <s v="JAKARTA"/>
    <s v="Kontrak"/>
    <d v="2014-11-01T00:00:00"/>
    <s v="Islam"/>
    <s v="M"/>
    <s v="BOGOR"/>
    <d v="1985-11-26T00:00:00"/>
    <n v="0.81"/>
    <n v="40"/>
    <s v="Tidak"/>
    <s v="Good"/>
    <x v="3"/>
    <n v="25000000"/>
    <n v="2"/>
    <n v="0"/>
  </r>
  <r>
    <s v="E1601"/>
    <s v="Iwan Prasetyo"/>
    <s v="JAKARTA"/>
    <s v="Karyawan Tetap"/>
    <d v="2016-12-01T00:00:00"/>
    <s v="Islam"/>
    <s v="M"/>
    <s v="GRESIK"/>
    <d v="1988-03-26T00:00:00"/>
    <n v="1"/>
    <n v="37"/>
    <s v="Tidak"/>
    <s v="Good"/>
    <x v="0"/>
    <n v="5000000"/>
    <n v="1"/>
    <n v="5000000"/>
  </r>
  <r>
    <s v="E3140"/>
    <s v="Dodi Nugraha"/>
    <s v="JAKARTA"/>
    <s v="Karyawan Tetap"/>
    <d v="2024-03-01T00:00:00"/>
    <s v="Islam"/>
    <s v="M"/>
    <s v="JAKARTA"/>
    <d v="1994-12-19T00:00:00"/>
    <n v="0.91"/>
    <n v="31"/>
    <s v="Tidak"/>
    <s v="Good"/>
    <x v="1"/>
    <n v="7000000"/>
    <n v="1"/>
    <n v="7000000"/>
  </r>
  <r>
    <s v="E3142"/>
    <s v="Rika Sari"/>
    <s v="JAKARTA"/>
    <s v="Karyawan Tetap"/>
    <d v="2024-03-01T00:00:00"/>
    <s v="Islam"/>
    <s v="F"/>
    <s v="JAKARTA"/>
    <d v="1994-12-19T00:00:00"/>
    <n v="0.62"/>
    <n v="31"/>
    <s v="Tidak"/>
    <s v="Poor"/>
    <x v="0"/>
    <n v="5000000"/>
    <n v="1"/>
    <n v="0"/>
  </r>
  <r>
    <s v="E1604"/>
    <s v="Dian Purnama"/>
    <s v="JAKARTA"/>
    <s v="Karyawan Tetap"/>
    <d v="2016-12-13T00:00:00"/>
    <s v="Islam"/>
    <s v="F"/>
    <s v="TUAL"/>
    <d v="1988-02-18T00:00:00"/>
    <n v="0.72"/>
    <n v="37"/>
    <s v="Tidak"/>
    <s v="Good"/>
    <x v="0"/>
    <n v="5000000"/>
    <n v="1"/>
    <n v="0"/>
  </r>
  <r>
    <s v="E0892"/>
    <s v="Ernest Prakasa"/>
    <s v="JAKARTA"/>
    <s v="Karyawan Tetap"/>
    <d v="2004-03-11T00:00:00"/>
    <s v="Islam"/>
    <s v="M"/>
    <s v="JAKARTA"/>
    <d v="1976-11-03T00:00:00"/>
    <n v="0.77"/>
    <n v="49"/>
    <s v="Tidak"/>
    <s v="Good"/>
    <x v="2"/>
    <n v="4000000"/>
    <n v="1"/>
    <n v="0"/>
  </r>
  <r>
    <s v="E1109"/>
    <s v="Yudi Susilo"/>
    <s v="JAKARTA"/>
    <s v="Karyawan Tetap"/>
    <d v="2012-09-10T00:00:00"/>
    <s v="Islam"/>
    <s v="M"/>
    <s v="KARANGANYAR"/>
    <d v="1990-04-21T00:00:00"/>
    <n v="0.65"/>
    <n v="35"/>
    <s v="Tidak"/>
    <s v="Poor"/>
    <x v="0"/>
    <n v="5000000"/>
    <n v="1"/>
    <n v="0"/>
  </r>
  <r>
    <s v="E2885"/>
    <s v="Retno Purnomo"/>
    <s v="JAKARTA"/>
    <s v="Karyawan Tetap"/>
    <d v="2023-02-01T00:00:00"/>
    <s v="Islam"/>
    <s v="M"/>
    <s v="INDRAMAYU"/>
    <d v="1986-07-10T00:00:00"/>
    <n v="0.78"/>
    <n v="39"/>
    <s v="Tidak"/>
    <s v="Good"/>
    <x v="5"/>
    <n v="12000000"/>
    <n v="2"/>
    <n v="0"/>
  </r>
  <r>
    <s v="E1456"/>
    <s v="Rudi Hartono"/>
    <s v="JAKARTA"/>
    <s v="Karyawan Tetap"/>
    <d v="2016-02-01T00:00:00"/>
    <s v="Islam"/>
    <s v="M"/>
    <s v="TANGERANG"/>
    <d v="1971-10-30T00:00:00"/>
    <n v="0.71"/>
    <n v="54"/>
    <s v="Ya"/>
    <s v="Good"/>
    <x v="0"/>
    <n v="5000000"/>
    <n v="1"/>
    <n v="0"/>
  </r>
  <r>
    <s v="E1393"/>
    <s v="Rani Kartika"/>
    <s v="JAKARTA"/>
    <s v="Karyawan Tetap"/>
    <d v="2016-02-01T00:00:00"/>
    <s v="Islam"/>
    <s v="F"/>
    <s v="TULUNGAGUNG"/>
    <d v="1986-01-08T00:00:00"/>
    <n v="0.63"/>
    <n v="39"/>
    <s v="Tidak"/>
    <s v="Poor"/>
    <x v="0"/>
    <n v="5000000"/>
    <n v="1"/>
    <n v="0"/>
  </r>
  <r>
    <s v="E2322"/>
    <s v="Hadi Nugroho"/>
    <s v="JAKARTA"/>
    <s v="Karyawan Tetap"/>
    <d v="2020-07-01T00:00:00"/>
    <s v="Islam"/>
    <s v="M"/>
    <s v="JAKARTA"/>
    <d v="1993-01-16T00:00:00"/>
    <n v="0.72"/>
    <n v="32"/>
    <s v="Tidak"/>
    <s v="Good"/>
    <x v="0"/>
    <n v="5000000"/>
    <n v="1"/>
    <n v="0"/>
  </r>
  <r>
    <s v="E0806"/>
    <s v="Rina Dewi"/>
    <s v="JAKARTA"/>
    <s v="Karyawan Tetap"/>
    <d v="2000-05-01T00:00:00"/>
    <s v="Islam"/>
    <s v="F"/>
    <s v="BANDUNG"/>
    <d v="1970-05-29T00:00:00"/>
    <n v="0.91"/>
    <n v="55"/>
    <s v="Ya"/>
    <s v="Good"/>
    <x v="1"/>
    <n v="7000000"/>
    <n v="1"/>
    <n v="7000000"/>
  </r>
  <r>
    <s v="E1866"/>
    <s v="Agung Prasetyo"/>
    <s v="JAKARTA"/>
    <s v="Karyawan Tetap"/>
    <d v="2018-05-07T00:00:00"/>
    <s v="Islam"/>
    <s v="M"/>
    <s v="JAKARTA"/>
    <d v="1993-12-11T00:00:00"/>
    <n v="0.66"/>
    <n v="32"/>
    <s v="Tidak"/>
    <s v="Poor"/>
    <x v="2"/>
    <n v="4000000"/>
    <n v="1"/>
    <n v="0"/>
  </r>
  <r>
    <s v="E2600"/>
    <s v="Sari Wulandari"/>
    <s v="JAKARTA"/>
    <s v="Karyawan Tetap"/>
    <d v="2022-03-21T00:00:00"/>
    <s v="Islam"/>
    <s v="F"/>
    <s v="DI YOGYAKARTA"/>
    <d v="1995-07-16T00:00:00"/>
    <n v="0.88"/>
    <n v="30"/>
    <s v="Tidak"/>
    <s v="Good"/>
    <x v="2"/>
    <n v="4000000"/>
    <n v="1"/>
    <n v="0"/>
  </r>
  <r>
    <s v="E0956"/>
    <s v="Wahyu Prasetyo"/>
    <s v="JAKARTA"/>
    <s v="Karyawan Tetap"/>
    <d v="2006-08-01T00:00:00"/>
    <s v="Islam"/>
    <s v="M"/>
    <s v="BANDUNG"/>
    <d v="1979-09-03T00:00:00"/>
    <n v="0.96"/>
    <n v="46"/>
    <s v="Tidak"/>
    <s v="Good"/>
    <x v="1"/>
    <n v="7000000"/>
    <n v="1"/>
    <n v="7000000"/>
  </r>
  <r>
    <s v="N2070"/>
    <s v="Bhisma Mulia"/>
    <s v="JAKARTA"/>
    <s v="Kontrak"/>
    <d v="2019-06-10T00:00:00"/>
    <s v="Islam"/>
    <s v="M"/>
    <s v="PURWOKERTO"/>
    <d v="1994-03-18T00:00:00"/>
    <n v="0.82"/>
    <n v="31"/>
    <s v="Tidak"/>
    <s v="Good"/>
    <x v="2"/>
    <n v="4000000"/>
    <n v="1"/>
    <n v="0"/>
  </r>
  <r>
    <s v="N2777"/>
    <s v="Mega Fitri"/>
    <s v="JAKARTA"/>
    <s v="Kontrak"/>
    <d v="2022-09-05T00:00:00"/>
    <s v="Islam"/>
    <s v="F"/>
    <s v="BOGOR"/>
    <d v="1997-08-29T00:00:00"/>
    <n v="0.68"/>
    <n v="28"/>
    <s v="Tidak"/>
    <s v="Poor"/>
    <x v="2"/>
    <n v="4000000"/>
    <n v="1"/>
    <n v="0"/>
  </r>
  <r>
    <s v="E1718"/>
    <s v="Bambang Wijaya"/>
    <s v="JAKARTA"/>
    <s v="Karyawan Tetap"/>
    <d v="2017-07-17T00:00:00"/>
    <s v="Islam"/>
    <s v="M"/>
    <s v="JAKARTA"/>
    <d v="1993-10-07T00:00:00"/>
    <n v="0.83"/>
    <n v="32"/>
    <s v="Tidak"/>
    <s v="Good"/>
    <x v="2"/>
    <n v="4000000"/>
    <n v="1"/>
    <n v="0"/>
  </r>
  <r>
    <s v="E1719"/>
    <s v="Maya Lestari"/>
    <s v="JAKARTA"/>
    <s v="Karyawan Tetap"/>
    <d v="2017-07-17T00:00:00"/>
    <s v="Islam"/>
    <s v="F"/>
    <s v="JAKARTA"/>
    <d v="1993-10-07T00:00:00"/>
    <n v="0.66"/>
    <n v="32"/>
    <s v="Tidak"/>
    <s v="Poor"/>
    <x v="0"/>
    <n v="5000000"/>
    <n v="1"/>
    <n v="0"/>
  </r>
  <r>
    <s v="E1994"/>
    <s v="Adi Nugroho"/>
    <s v="JAKARTA"/>
    <s v="Karyawan Tetap"/>
    <d v="2018-12-06T00:00:00"/>
    <s v="Islam"/>
    <s v="M"/>
    <s v="SEMARANG"/>
    <d v="1992-11-05T00:00:00"/>
    <n v="0.65"/>
    <n v="33"/>
    <s v="Tidak"/>
    <s v="Poor"/>
    <x v="0"/>
    <n v="5000000"/>
    <n v="1"/>
    <n v="0"/>
  </r>
  <r>
    <s v="N0795"/>
    <s v="Dolly Martin"/>
    <s v="JAKARTA"/>
    <s v="Kontrak"/>
    <d v="2000-03-13T00:00:00"/>
    <s v="Islam"/>
    <s v="M"/>
    <s v="TANJUNG KARANG"/>
    <d v="1977-03-06T00:00:00"/>
    <n v="0.63"/>
    <n v="48"/>
    <s v="Tidak"/>
    <s v="Poor"/>
    <x v="2"/>
    <n v="4000000"/>
    <n v="1"/>
    <n v="0"/>
  </r>
  <r>
    <s v="N1708"/>
    <s v="Wulan Indriani"/>
    <s v="JAKARTA"/>
    <s v="Kontrak"/>
    <d v="2017-07-03T00:00:00"/>
    <s v="Islam"/>
    <s v="F"/>
    <s v="JAKARTA"/>
    <d v="1987-12-01T00:00:00"/>
    <n v="0.8"/>
    <n v="38"/>
    <s v="Tidak"/>
    <s v="Good"/>
    <x v="2"/>
    <n v="4000000"/>
    <n v="1"/>
    <n v="0"/>
  </r>
  <r>
    <s v="E2071"/>
    <s v="Rina Nurhayati"/>
    <s v="JAKARTA"/>
    <s v="Karyawan Tetap"/>
    <d v="2019-06-11T00:00:00"/>
    <s v="Islam"/>
    <s v="F"/>
    <s v="JAKARTA"/>
    <d v="1994-02-05T00:00:00"/>
    <n v="0.81"/>
    <n v="31"/>
    <s v="Tidak"/>
    <s v="Good"/>
    <x v="0"/>
    <n v="5000000"/>
    <n v="1"/>
    <n v="0"/>
  </r>
  <r>
    <s v="E1049"/>
    <s v="Raina Aryani"/>
    <s v="JAKARTA"/>
    <s v="Karyawan Tetap"/>
    <d v="2008-10-20T00:00:00"/>
    <s v="Islam"/>
    <s v="F"/>
    <s v="JAKARTA"/>
    <d v="1985-08-28T00:00:00"/>
    <n v="0.74"/>
    <n v="40"/>
    <s v="Tidak"/>
    <s v="Good"/>
    <x v="0"/>
    <n v="5000000"/>
    <n v="1"/>
    <n v="0"/>
  </r>
  <r>
    <s v="E1227"/>
    <s v="Tari Anggraini"/>
    <s v="JAKARTA"/>
    <s v="Karyawan Tetap"/>
    <d v="2015-03-02T00:00:00"/>
    <s v="Islam"/>
    <s v="F"/>
    <s v="JAKARTA"/>
    <d v="1989-10-28T00:00:00"/>
    <n v="1"/>
    <n v="36"/>
    <s v="Tidak"/>
    <s v="Good"/>
    <x v="2"/>
    <n v="4000000"/>
    <n v="1"/>
    <n v="4000000"/>
  </r>
  <r>
    <s v="E1138"/>
    <s v="Karen Riyanti"/>
    <s v="JAKARTA"/>
    <s v="Karyawan Tetap"/>
    <d v="2013-04-01T00:00:00"/>
    <s v="Islam"/>
    <s v="F"/>
    <s v="BANDUNG"/>
    <d v="1985-08-20T00:00:00"/>
    <n v="0.6"/>
    <n v="40"/>
    <s v="Tidak"/>
    <s v="Poor"/>
    <x v="1"/>
    <n v="7000000"/>
    <n v="1"/>
    <n v="0"/>
  </r>
  <r>
    <s v="E0991"/>
    <s v="Titin Aryani"/>
    <s v="JAKARTA"/>
    <s v="Karyawan Tetap"/>
    <d v="2007-03-26T00:00:00"/>
    <s v="Islam"/>
    <s v="F"/>
    <s v="SITUBONDO"/>
    <d v="1983-07-15T00:00:00"/>
    <n v="0.67"/>
    <n v="42"/>
    <s v="Tidak"/>
    <s v="Poor"/>
    <x v="1"/>
    <n v="7000000"/>
    <n v="1"/>
    <n v="0"/>
  </r>
  <r>
    <s v="E2585"/>
    <s v="Ilsa Utami"/>
    <s v="JAKARTA"/>
    <s v="Karyawan Tetap"/>
    <d v="2022-02-02T00:00:00"/>
    <s v="Islam"/>
    <s v="F"/>
    <s v="SALATIGA"/>
    <d v="1990-10-22T00:00:00"/>
    <n v="0.83"/>
    <n v="35"/>
    <s v="Tidak"/>
    <s v="Good"/>
    <x v="0"/>
    <n v="5000000"/>
    <n v="1"/>
    <n v="0"/>
  </r>
  <r>
    <s v="N2803"/>
    <s v="Jessica Hariyah"/>
    <s v="JAKARTA"/>
    <s v="Kontrak"/>
    <d v="2022-10-24T00:00:00"/>
    <s v="Islam"/>
    <s v="F"/>
    <s v="CILACAP"/>
    <d v="1998-09-20T00:00:00"/>
    <n v="0.61"/>
    <n v="27"/>
    <s v="Tidak"/>
    <s v="Poor"/>
    <x v="0"/>
    <n v="5000000"/>
    <n v="1"/>
    <n v="0"/>
  </r>
  <r>
    <s v="E0948"/>
    <s v="Almira Hasanah"/>
    <s v="JAKARTA"/>
    <s v="Karyawan Tetap"/>
    <d v="2006-06-01T00:00:00"/>
    <s v="Islam"/>
    <s v="F"/>
    <s v="JAKARTA"/>
    <d v="1978-07-20T00:00:00"/>
    <n v="0.64"/>
    <n v="47"/>
    <s v="Tidak"/>
    <s v="Poor"/>
    <x v="1"/>
    <n v="7000000"/>
    <n v="1"/>
    <n v="0"/>
  </r>
  <r>
    <s v="E1863"/>
    <s v="Sari Astuti"/>
    <s v="JAKARTA"/>
    <s v="Karyawan Tetap"/>
    <d v="2018-04-26T00:00:00"/>
    <s v="Islam"/>
    <s v="F"/>
    <s v="JAKARTA"/>
    <d v="1986-05-30T00:00:00"/>
    <n v="0.87"/>
    <n v="39"/>
    <s v="Tidak"/>
    <s v="Good"/>
    <x v="0"/>
    <n v="5000000"/>
    <n v="1"/>
    <n v="0"/>
  </r>
  <r>
    <s v="E2819"/>
    <s v="Aurora Anggraini"/>
    <s v="JAKARTA"/>
    <s v="Karyawan Tetap"/>
    <d v="2022-11-21T00:00:00"/>
    <s v="Islam"/>
    <s v="F"/>
    <s v="TULUNGAGUNG"/>
    <d v="1989-10-07T00:00:00"/>
    <n v="1"/>
    <n v="36"/>
    <s v="Tidak"/>
    <s v="Good"/>
    <x v="0"/>
    <n v="5000000"/>
    <n v="1"/>
    <n v="5000000"/>
  </r>
  <r>
    <s v="N2549"/>
    <s v="Vivi Andriani"/>
    <s v="JAKARTA"/>
    <s v="Kontrak"/>
    <d v="2021-12-01T00:00:00"/>
    <s v="Islam"/>
    <s v="F"/>
    <s v="JAKARTA"/>
    <d v="1994-10-20T00:00:00"/>
    <n v="0.89"/>
    <n v="31"/>
    <s v="Tidak"/>
    <s v="Good"/>
    <x v="2"/>
    <n v="4000000"/>
    <n v="1"/>
    <n v="0"/>
  </r>
  <r>
    <s v="N1991"/>
    <s v="Eka Nashiruddin"/>
    <s v="JAKARTA"/>
    <s v="Kontrak"/>
    <d v="2018-11-26T00:00:00"/>
    <s v="Islam"/>
    <s v="F"/>
    <s v="JAKARTA"/>
    <d v="1988-04-09T00:00:00"/>
    <n v="0.82"/>
    <n v="37"/>
    <s v="Tidak"/>
    <s v="Good"/>
    <x v="1"/>
    <n v="7000000"/>
    <n v="1"/>
    <n v="0"/>
  </r>
  <r>
    <s v="E2082"/>
    <s v="Adiarja Sirait"/>
    <s v="JAKARTA"/>
    <s v="Karyawan Tetap"/>
    <d v="2019-07-01T00:00:00"/>
    <s v="Islam"/>
    <s v="M"/>
    <s v="BANDUNG"/>
    <d v="1991-04-07T00:00:00"/>
    <n v="0.76"/>
    <n v="34"/>
    <s v="Tidak"/>
    <s v="Good"/>
    <x v="2"/>
    <n v="4000000"/>
    <n v="1"/>
    <n v="0"/>
  </r>
  <r>
    <s v="E1989"/>
    <s v="Sidiq Pranowo"/>
    <s v="JAKARTA"/>
    <s v="Karyawan Tetap"/>
    <d v="2018-11-12T00:00:00"/>
    <s v="Islam"/>
    <s v="M"/>
    <s v="BEKASI"/>
    <d v="1989-09-08T00:00:00"/>
    <n v="0.94"/>
    <n v="36"/>
    <s v="Tidak"/>
    <s v="Good"/>
    <x v="0"/>
    <n v="5000000"/>
    <n v="1"/>
    <n v="5000000"/>
  </r>
  <r>
    <s v="E1987"/>
    <s v="Harsana Budiman"/>
    <s v="JAKARTA"/>
    <s v="Karyawan Tetap"/>
    <d v="2018-11-12T00:00:00"/>
    <s v="Islam"/>
    <s v="M"/>
    <s v="BEKASI"/>
    <d v="1989-09-08T00:00:00"/>
    <n v="0.76"/>
    <n v="36"/>
    <s v="Tidak"/>
    <s v="Good"/>
    <x v="2"/>
    <n v="4000000"/>
    <n v="1"/>
    <n v="0"/>
  </r>
  <r>
    <s v="E2601"/>
    <s v="Galar Halim"/>
    <s v="JAKARTA"/>
    <s v="Karyawan Tetap"/>
    <d v="2022-03-21T00:00:00"/>
    <s v="Islam"/>
    <s v="M"/>
    <s v="JAKARTA"/>
    <d v="1994-03-06T00:00:00"/>
    <n v="0.9"/>
    <n v="31"/>
    <s v="Tidak"/>
    <s v="Good"/>
    <x v="2"/>
    <n v="4000000"/>
    <n v="1"/>
    <n v="0"/>
  </r>
  <r>
    <s v="N1579"/>
    <s v="Kardi Saptono"/>
    <s v="JAKARTA"/>
    <s v="Kontrak"/>
    <d v="2016-08-15T00:00:00"/>
    <s v="Islam"/>
    <s v="M"/>
    <s v="JAKARTA"/>
    <d v="1990-08-02T00:00:00"/>
    <n v="0.63"/>
    <n v="35"/>
    <s v="Tidak"/>
    <s v="Poor"/>
    <x v="2"/>
    <n v="4000000"/>
    <n v="1"/>
    <n v="0"/>
  </r>
  <r>
    <s v="N0867"/>
    <s v="Sabar Situmorang"/>
    <s v="JAKARTA"/>
    <s v="Kontrak"/>
    <d v="2002-12-11T00:00:00"/>
    <s v="Islam"/>
    <s v="M"/>
    <s v="PALEMBANG"/>
    <d v="1979-12-28T00:00:00"/>
    <n v="0.7"/>
    <n v="46"/>
    <s v="Tidak"/>
    <s v="Good"/>
    <x v="2"/>
    <n v="4000000"/>
    <n v="1"/>
    <n v="0"/>
  </r>
  <r>
    <s v="E2389"/>
    <s v="Dimaz Zulkarnain"/>
    <s v="JAKARTA"/>
    <s v="Karyawan Tetap"/>
    <d v="2020-12-07T00:00:00"/>
    <s v="Islam"/>
    <s v="M"/>
    <s v="JAKARTA"/>
    <d v="1992-06-10T00:00:00"/>
    <n v="0.62"/>
    <n v="33"/>
    <s v="Tidak"/>
    <s v="Poor"/>
    <x v="0"/>
    <n v="5000000"/>
    <n v="1"/>
    <n v="0"/>
  </r>
  <r>
    <s v="E1175"/>
    <s v="Balapati Prasetya"/>
    <s v="BANDUNG"/>
    <s v="Karyawan Tetap"/>
    <d v="2014-06-02T00:00:00"/>
    <s v="Islam"/>
    <s v="M"/>
    <s v="BANDUNG"/>
    <d v="1975-10-16T00:00:00"/>
    <n v="0.67"/>
    <n v="50"/>
    <s v="Ya"/>
    <s v="Poor"/>
    <x v="1"/>
    <n v="7000000"/>
    <n v="1"/>
    <n v="0"/>
  </r>
  <r>
    <s v="N1378"/>
    <s v="Eja Widodo"/>
    <s v="JAKARTA"/>
    <s v="Kontrak"/>
    <d v="2016-01-11T00:00:00"/>
    <s v="Islam"/>
    <s v="M"/>
    <s v="BANDUNG"/>
    <d v="1993-05-30T00:00:00"/>
    <n v="0.6"/>
    <n v="32"/>
    <s v="Tidak"/>
    <s v="Poor"/>
    <x v="2"/>
    <n v="4000000"/>
    <n v="1"/>
    <n v="0"/>
  </r>
  <r>
    <s v="E2890"/>
    <s v="Prabu Haryanto"/>
    <s v="JAKARTA"/>
    <s v="Karyawan Tetap"/>
    <d v="2023-02-20T00:00:00"/>
    <s v="Islam"/>
    <s v="M"/>
    <s v="PACITAN"/>
    <d v="1994-12-16T00:00:00"/>
    <n v="0.81"/>
    <n v="31"/>
    <s v="Tidak"/>
    <s v="Good"/>
    <x v="0"/>
    <n v="5000000"/>
    <n v="1"/>
    <n v="0"/>
  </r>
  <r>
    <s v="E0967"/>
    <s v="Cayadi Putra"/>
    <s v="SURABAYA"/>
    <s v="Karyawan Tetap"/>
    <d v="2006-10-09T00:00:00"/>
    <s v="Islam"/>
    <s v="M"/>
    <s v="SURABAYA"/>
    <d v="1985-01-13T00:00:00"/>
    <n v="0.6"/>
    <n v="40"/>
    <s v="Tidak"/>
    <s v="Poor"/>
    <x v="2"/>
    <n v="4000000"/>
    <n v="1"/>
    <n v="0"/>
  </r>
  <r>
    <s v="N1660"/>
    <s v="Gambira Pranowo"/>
    <s v="JAKARTA"/>
    <s v="Kontrak"/>
    <d v="2017-02-01T00:00:00"/>
    <s v="Islam"/>
    <s v="M"/>
    <s v="JAKARTA"/>
    <d v="1986-10-16T00:00:00"/>
    <n v="0.83"/>
    <n v="39"/>
    <s v="Tidak"/>
    <s v="Good"/>
    <x v="2"/>
    <n v="4000000"/>
    <n v="1"/>
    <n v="0"/>
  </r>
  <r>
    <s v="E1806"/>
    <s v="Salman Wasita"/>
    <s v="JAKARTA"/>
    <s v="Karyawan Tetap"/>
    <d v="2017-12-18T00:00:00"/>
    <s v="Islam"/>
    <s v="M"/>
    <s v="JAKARTA"/>
    <d v="1990-06-19T00:00:00"/>
    <n v="0.84"/>
    <n v="35"/>
    <s v="Tidak"/>
    <s v="Good"/>
    <x v="5"/>
    <n v="12000000"/>
    <n v="2"/>
    <n v="0"/>
  </r>
  <r>
    <s v="E1036"/>
    <s v="Wardaya Dongoran"/>
    <s v="BANDUNG"/>
    <s v="Karyawan Tetap"/>
    <d v="2008-07-28T00:00:00"/>
    <s v="Islam"/>
    <s v="M"/>
    <s v="JAKARTA"/>
    <d v="1984-11-30T00:00:00"/>
    <n v="0.66"/>
    <n v="41"/>
    <s v="Tidak"/>
    <s v="Poor"/>
    <x v="5"/>
    <n v="12000000"/>
    <n v="2"/>
    <n v="0"/>
  </r>
  <r>
    <s v="N2183"/>
    <s v="Kania Permata"/>
    <s v="JAKARTA"/>
    <s v="Kontrak"/>
    <d v="2020-01-13T00:00:00"/>
    <s v="Islam"/>
    <s v="F"/>
    <s v="TEGAL"/>
    <d v="1998-05-29T00:00:00"/>
    <n v="0.77"/>
    <n v="27"/>
    <s v="Tidak"/>
    <s v="Good"/>
    <x v="1"/>
    <n v="7000000"/>
    <n v="1"/>
    <n v="0"/>
  </r>
  <r>
    <s v="N1723"/>
    <s v="Eva Yolanda"/>
    <s v="BANDUNG"/>
    <s v="Kontrak"/>
    <d v="2017-07-11T00:00:00"/>
    <s v="Islam"/>
    <s v="F"/>
    <s v="CIMAHI"/>
    <d v="1985-02-11T00:00:00"/>
    <n v="0.79"/>
    <n v="40"/>
    <s v="Tidak"/>
    <s v="Good"/>
    <x v="1"/>
    <n v="7000000"/>
    <n v="1"/>
    <n v="0"/>
  </r>
  <r>
    <s v="N1583"/>
    <s v="Amalia Yuniar"/>
    <s v="JAKARTA"/>
    <s v="Kontrak"/>
    <d v="2016-08-26T00:00:00"/>
    <s v="Islam"/>
    <s v="F"/>
    <s v="JAKARTA"/>
    <d v="1993-01-15T00:00:00"/>
    <n v="0.64"/>
    <n v="32"/>
    <s v="Tidak"/>
    <s v="Poor"/>
    <x v="3"/>
    <n v="25000000"/>
    <n v="2"/>
    <n v="0"/>
  </r>
  <r>
    <s v="E1512"/>
    <s v="Ade Rahayu"/>
    <s v="JAKARTA"/>
    <s v="Karyawan Tetap"/>
    <d v="2016-04-15T00:00:00"/>
    <s v="Islam"/>
    <s v="F"/>
    <s v="MAKASAR"/>
    <d v="1990-03-28T00:00:00"/>
    <n v="0.85"/>
    <n v="35"/>
    <s v="Tidak"/>
    <s v="Good"/>
    <x v="4"/>
    <n v="18000000"/>
    <n v="2"/>
    <n v="0"/>
  </r>
  <r>
    <s v="E2536"/>
    <s v="Zizi Usada"/>
    <s v="JAKARTA"/>
    <s v="Karyawan Tetap"/>
    <d v="2021-11-01T00:00:00"/>
    <s v="Katolik"/>
    <s v="F"/>
    <s v="BEKASI"/>
    <d v="1994-11-08T00:00:00"/>
    <n v="0.87"/>
    <n v="31"/>
    <s v="Tidak"/>
    <s v="Good"/>
    <x v="4"/>
    <n v="18000000"/>
    <n v="2"/>
    <n v="0"/>
  </r>
  <r>
    <s v="E1062"/>
    <s v="Gaduh Pratama"/>
    <s v="JAKARTA"/>
    <s v="Karyawan Tetap"/>
    <d v="2010-07-12T00:00:00"/>
    <s v="Islam"/>
    <s v="M"/>
    <s v="PADANG"/>
    <d v="1982-04-23T00:00:00"/>
    <n v="0.88"/>
    <n v="43"/>
    <s v="Tidak"/>
    <s v="Good"/>
    <x v="4"/>
    <n v="18000000"/>
    <n v="2"/>
    <n v="0"/>
  </r>
  <r>
    <s v="E1162"/>
    <s v="Laras Nuraini"/>
    <s v="JAKARTA"/>
    <s v="Karyawan Tetap"/>
    <d v="2014-04-21T00:00:00"/>
    <s v="Islam"/>
    <s v="F"/>
    <s v="JAKARTA"/>
    <d v="1992-03-10T00:00:00"/>
    <n v="0.8"/>
    <n v="33"/>
    <s v="Tidak"/>
    <s v="Good"/>
    <x v="4"/>
    <n v="18000000"/>
    <n v="2"/>
    <n v="0"/>
  </r>
  <r>
    <s v="E1182"/>
    <s v="Cinthia Gunawan"/>
    <s v="JAKARTA"/>
    <s v="Karyawan Tetap"/>
    <d v="2015-09-01T00:00:00"/>
    <s v="Katolik"/>
    <s v="F"/>
    <s v="TEBING TINGGI"/>
    <d v="1973-11-26T00:00:00"/>
    <n v="0.84"/>
    <n v="52"/>
    <s v="Ya"/>
    <s v="Good"/>
    <x v="1"/>
    <n v="7000000"/>
    <n v="1"/>
    <n v="0"/>
  </r>
  <r>
    <s v="E1922"/>
    <s v="Bagiya Sihombing"/>
    <s v="JAKARTA"/>
    <s v="Karyawan Tetap"/>
    <d v="2018-08-20T00:00:00"/>
    <s v="Islam"/>
    <s v="F"/>
    <s v="JAKARTA"/>
    <d v="1994-12-02T00:00:00"/>
    <n v="0.97"/>
    <n v="31"/>
    <s v="Tidak"/>
    <s v="Good"/>
    <x v="1"/>
    <n v="7000000"/>
    <n v="1"/>
    <n v="7000000"/>
  </r>
  <r>
    <s v="E1735"/>
    <s v="Violet Mentari"/>
    <s v="SURABAYA"/>
    <s v="Karyawan Tetap"/>
    <d v="2017-08-14T00:00:00"/>
    <s v="Islam"/>
    <s v="F"/>
    <s v="BANYUWANGI"/>
    <d v="1990-09-07T00:00:00"/>
    <n v="0.78"/>
    <n v="35"/>
    <s v="Tidak"/>
    <s v="Good"/>
    <x v="1"/>
    <n v="7000000"/>
    <n v="1"/>
    <n v="0"/>
  </r>
  <r>
    <s v="N2168"/>
    <s v="Paiman Firgantoro"/>
    <s v="JAKARTA"/>
    <s v="Kontrak"/>
    <d v="2019-12-09T00:00:00"/>
    <s v="Islam"/>
    <s v="M"/>
    <s v="JAKARTA"/>
    <d v="1988-12-09T00:00:00"/>
    <n v="0.87"/>
    <n v="37"/>
    <s v="Tidak"/>
    <s v="Good"/>
    <x v="3"/>
    <n v="25000000"/>
    <n v="2"/>
    <n v="0"/>
  </r>
  <r>
    <s v="E1016"/>
    <s v="Ophelia Mustofa"/>
    <s v="MEDAN"/>
    <s v="Karyawan Tetap"/>
    <d v="2008-01-02T00:00:00"/>
    <s v="Islam"/>
    <s v="M"/>
    <s v="MEDAN"/>
    <d v="1982-10-28T00:00:00"/>
    <n v="0.79"/>
    <n v="43"/>
    <s v="Tidak"/>
    <s v="Good"/>
    <x v="0"/>
    <n v="5000000"/>
    <n v="1"/>
    <n v="0"/>
  </r>
  <r>
    <s v="E2527"/>
    <s v="Darmanto Laksita"/>
    <s v="SURABAYA"/>
    <s v="Karyawan Tetap"/>
    <d v="2021-09-20T00:00:00"/>
    <s v="Islam"/>
    <s v="F"/>
    <s v="SURABAYA"/>
    <d v="1993-10-01T00:00:00"/>
    <n v="0.6"/>
    <n v="32"/>
    <s v="Tidak"/>
    <s v="Poor"/>
    <x v="1"/>
    <n v="7000000"/>
    <n v="1"/>
    <n v="0"/>
  </r>
  <r>
    <s v="E1900"/>
    <s v="Kenari Rajasa"/>
    <s v="JAKARTA"/>
    <s v="Karyawan Tetap"/>
    <d v="2018-08-01T00:00:00"/>
    <s v="Islam"/>
    <s v="F"/>
    <s v="PEKALONGAN"/>
    <d v="1987-01-22T00:00:00"/>
    <n v="0.74"/>
    <n v="38"/>
    <s v="Tidak"/>
    <s v="Good"/>
    <x v="0"/>
    <n v="5000000"/>
    <n v="1"/>
    <n v="0"/>
  </r>
  <r>
    <s v="E1909"/>
    <s v="Puti Nadine Prakasa"/>
    <s v="JAKARTA"/>
    <s v="Karyawan Tetap"/>
    <d v="2018-08-01T00:00:00"/>
    <s v="Islam"/>
    <s v="F"/>
    <s v="PEKALONGAN"/>
    <d v="1987-01-22T00:00:00"/>
    <n v="0.88"/>
    <n v="38"/>
    <s v="Tidak"/>
    <s v="Good"/>
    <x v="2"/>
    <n v="4000000"/>
    <n v="1"/>
    <n v="0"/>
  </r>
  <r>
    <s v="N2857"/>
    <s v="Clara Prasetyo"/>
    <s v="JAKARTA"/>
    <s v="Kontrak"/>
    <d v="2022-12-21T00:00:00"/>
    <s v="Islam"/>
    <s v="F"/>
    <s v="BOGOR"/>
    <d v="2000-06-16T00:00:00"/>
    <n v="0.66"/>
    <n v="25"/>
    <s v="Tidak"/>
    <s v="Poor"/>
    <x v="0"/>
    <n v="5000000"/>
    <n v="1"/>
    <n v="0"/>
  </r>
  <r>
    <s v="N2139"/>
    <s v="Nabila Prakasa"/>
    <s v="JAKARTA"/>
    <s v="Kontrak"/>
    <d v="2019-10-21T00:00:00"/>
    <s v="Islam"/>
    <s v="F"/>
    <s v="JAKARTA"/>
    <d v="1996-07-19T00:00:00"/>
    <n v="0.87"/>
    <n v="29"/>
    <s v="Tidak"/>
    <s v="Good"/>
    <x v="0"/>
    <n v="5000000"/>
    <n v="1"/>
    <n v="0"/>
  </r>
  <r>
    <s v="N1568"/>
    <s v="Sutan Tirtayasa Wasita"/>
    <s v="JAKARTA"/>
    <s v="Kontrak"/>
    <d v="2016-08-01T00:00:00"/>
    <s v="Islam"/>
    <s v="F"/>
    <s v="JAKARTA"/>
    <d v="1994-12-07T00:00:00"/>
    <n v="0.82"/>
    <n v="31"/>
    <s v="Tidak"/>
    <s v="Good"/>
    <x v="2"/>
    <n v="4000000"/>
    <n v="1"/>
    <n v="0"/>
  </r>
  <r>
    <s v="N1713"/>
    <s v="Sari Winarno"/>
    <s v="JAKARTA"/>
    <s v="Kontrak"/>
    <d v="2017-07-10T00:00:00"/>
    <s v="Islam"/>
    <s v="F"/>
    <s v="JAKARTA"/>
    <d v="1986-02-24T00:00:00"/>
    <n v="0.61"/>
    <n v="39"/>
    <s v="Tidak"/>
    <s v="Poor"/>
    <x v="2"/>
    <n v="4000000"/>
    <n v="1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s v="N1707"/>
    <s v="Dewi Kartini"/>
    <s v="JAKARTA"/>
    <s v="Kontrak"/>
    <d v="2017-07-04T00:00:00"/>
    <s v="Kristen"/>
    <s v="F"/>
    <s v="JAKARTA PUSAT"/>
    <d v="1987-11-08T00:00:00"/>
    <n v="0.99"/>
    <n v="38"/>
    <s v="Tidak"/>
    <x v="0"/>
    <s v="Senior Staff"/>
    <n v="5000000"/>
    <n v="1"/>
    <n v="5000000"/>
    <x v="0"/>
  </r>
  <r>
    <s v="N2498"/>
    <s v="Siti Rahayu"/>
    <s v="JAKARTA"/>
    <s v="Kontrak"/>
    <d v="2021-08-09T00:00:00"/>
    <s v="Islam"/>
    <s v="F"/>
    <s v="BANDUNG"/>
    <d v="1992-04-18T00:00:00"/>
    <n v="0.77"/>
    <n v="33"/>
    <s v="Tidak"/>
    <x v="0"/>
    <s v="Senior Staff"/>
    <n v="5000000"/>
    <n v="1"/>
    <n v="0"/>
    <x v="0"/>
  </r>
  <r>
    <s v="E2513"/>
    <s v="Lina Puspitasari"/>
    <s v="JAKARTA"/>
    <s v="Karyawan Tetap"/>
    <d v="2021-08-16T00:00:00"/>
    <s v="Islam"/>
    <s v="F"/>
    <s v="BOGOR"/>
    <d v="1995-03-10T00:00:00"/>
    <n v="0.7"/>
    <n v="30"/>
    <s v="Tidak"/>
    <x v="0"/>
    <s v="Supervisor"/>
    <n v="7000000"/>
    <n v="1"/>
    <n v="0"/>
    <x v="0"/>
  </r>
  <r>
    <s v="N1674"/>
    <s v="Ratna Kusuma"/>
    <s v="JAKARTA"/>
    <s v="Kontrak"/>
    <d v="2017-03-06T00:00:00"/>
    <s v="Islam"/>
    <s v="F"/>
    <s v="JAKARTA"/>
    <d v="1991-11-27T00:00:00"/>
    <n v="0.6"/>
    <n v="34"/>
    <s v="Tidak"/>
    <x v="1"/>
    <s v="Staff"/>
    <n v="4000000"/>
    <n v="1"/>
    <n v="0"/>
    <x v="0"/>
  </r>
  <r>
    <s v="E2640"/>
    <s v="Chicco Jerikho"/>
    <s v="JAKARTA"/>
    <s v="Karyawan Tetap"/>
    <d v="2022-06-06T00:00:00"/>
    <s v="Kristen"/>
    <s v="M"/>
    <s v="LAMPUNG"/>
    <d v="1996-05-11T00:00:00"/>
    <n v="0.7"/>
    <n v="29"/>
    <s v="Tidak"/>
    <x v="0"/>
    <s v="General Manager"/>
    <n v="25000000"/>
    <n v="2"/>
    <n v="0"/>
    <x v="1"/>
  </r>
  <r>
    <s v="N2016"/>
    <s v="Arifin Sutedjo"/>
    <s v="JAKARTA"/>
    <s v="Kontrak"/>
    <d v="2019-01-14T00:00:00"/>
    <s v="Islam"/>
    <s v="M"/>
    <s v="JAKARTA"/>
    <d v="1993-12-04T00:00:00"/>
    <n v="0.67"/>
    <n v="32"/>
    <s v="Tidak"/>
    <x v="1"/>
    <s v="Staff"/>
    <n v="4000000"/>
    <n v="1"/>
    <n v="0"/>
    <x v="1"/>
  </r>
  <r>
    <s v="E2054"/>
    <s v="Agus Suharto"/>
    <s v="JAKARTA"/>
    <s v="Karyawan Tetap"/>
    <d v="2019-04-22T00:00:00"/>
    <s v="Islam"/>
    <s v="M"/>
    <s v="PURBALINGGA"/>
    <d v="1994-09-23T00:00:00"/>
    <n v="0.63"/>
    <n v="31"/>
    <s v="Tidak"/>
    <x v="1"/>
    <s v="Senior Manager"/>
    <n v="18000000"/>
    <n v="2"/>
    <n v="0"/>
    <x v="1"/>
  </r>
  <r>
    <s v="E1881"/>
    <s v="Lita Damayanti"/>
    <s v="JAKARTA"/>
    <s v="Karyawan Tetap"/>
    <d v="2018-06-25T00:00:00"/>
    <s v="Islam"/>
    <s v="F"/>
    <s v="TANGERANG"/>
    <d v="1993-12-14T00:00:00"/>
    <n v="0.79"/>
    <n v="32"/>
    <s v="Tidak"/>
    <x v="0"/>
    <s v="Staff"/>
    <n v="4000000"/>
    <n v="1"/>
    <n v="0"/>
    <x v="0"/>
  </r>
  <r>
    <s v="E2161"/>
    <s v="Eko Pramono"/>
    <s v="JAKARTA"/>
    <s v="Karyawan Tetap"/>
    <d v="2019-12-02T00:00:00"/>
    <s v="Islam"/>
    <s v="M"/>
    <s v="JAKARTA"/>
    <d v="1994-04-04T00:00:00"/>
    <n v="0.94"/>
    <n v="31"/>
    <s v="Tidak"/>
    <x v="0"/>
    <s v="Senior Manager"/>
    <n v="18000000"/>
    <n v="2"/>
    <n v="36000000"/>
    <x v="1"/>
  </r>
  <r>
    <s v="N2031"/>
    <s v="Lina Handayani"/>
    <s v="JAKARTA"/>
    <s v="Kontrak"/>
    <d v="2019-03-04T00:00:00"/>
    <s v="Islam"/>
    <s v="F"/>
    <s v="BANDUNG"/>
    <d v="1990-11-12T00:00:00"/>
    <n v="0.62"/>
    <n v="35"/>
    <s v="Tidak"/>
    <x v="1"/>
    <s v="Staff"/>
    <n v="4000000"/>
    <n v="1"/>
    <n v="0"/>
    <x v="0"/>
  </r>
  <r>
    <s v="N1173"/>
    <s v="Chicco Kurniawan"/>
    <s v="JAKARTA"/>
    <s v="Kontrak"/>
    <d v="2014-06-02T00:00:00"/>
    <s v="Islam"/>
    <s v="M"/>
    <s v="JAKARTA"/>
    <d v="1990-03-18T00:00:00"/>
    <n v="0.69"/>
    <n v="35"/>
    <s v="Tidak"/>
    <x v="1"/>
    <s v="Staff"/>
    <n v="4000000"/>
    <n v="1"/>
    <n v="0"/>
    <x v="1"/>
  </r>
  <r>
    <s v="E1005"/>
    <s v="Yanto Setiawan"/>
    <s v="JAKARTA"/>
    <s v="Karyawan Tetap"/>
    <d v="2007-08-01T00:00:00"/>
    <s v="Islam"/>
    <s v="M"/>
    <s v="TASIKMALAYA"/>
    <d v="1979-03-02T00:00:00"/>
    <n v="0.84"/>
    <n v="46"/>
    <s v="Tidak"/>
    <x v="0"/>
    <s v="Senior Staff"/>
    <n v="5000000"/>
    <n v="1"/>
    <n v="0"/>
    <x v="1"/>
  </r>
  <r>
    <s v="E1063"/>
    <s v="Joko Nugroho"/>
    <s v="JAKARTA"/>
    <s v="Karyawan Tetap"/>
    <d v="2010-10-01T00:00:00"/>
    <s v="Islam"/>
    <s v="M"/>
    <s v="JAKARTA"/>
    <d v="1985-09-01T00:00:00"/>
    <n v="0.7"/>
    <n v="40"/>
    <s v="Tidak"/>
    <x v="0"/>
    <s v="Supervisor"/>
    <n v="7000000"/>
    <n v="1"/>
    <n v="0"/>
    <x v="1"/>
  </r>
  <r>
    <s v="E1974"/>
    <s v="Arianto Wibowo"/>
    <s v="MEDAN"/>
    <s v="Karyawan Tetap"/>
    <d v="2018-11-01T00:00:00"/>
    <s v="Islam"/>
    <s v="M"/>
    <s v="JAKARTA"/>
    <d v="1989-02-04T00:00:00"/>
    <n v="0.84"/>
    <n v="36"/>
    <s v="Tidak"/>
    <x v="0"/>
    <s v="Senior Staff"/>
    <n v="5000000"/>
    <n v="1"/>
    <n v="0"/>
    <x v="1"/>
  </r>
  <r>
    <s v="E0828"/>
    <s v="Erwin Gutawa"/>
    <s v="JAKARTA"/>
    <s v="Karyawan Tetap"/>
    <d v="2000-08-01T00:00:00"/>
    <s v="Islam"/>
    <s v="M"/>
    <s v="BATANG"/>
    <d v="1975-03-10T00:00:00"/>
    <n v="0.89"/>
    <n v="50"/>
    <s v="Ya"/>
    <x v="0"/>
    <s v="General Manager"/>
    <n v="25000000"/>
    <n v="2"/>
    <n v="0"/>
    <x v="1"/>
  </r>
  <r>
    <s v="E1054"/>
    <s v="Aliando Syarief"/>
    <s v="JAKARTA"/>
    <s v="Karyawan Tetap"/>
    <d v="2009-11-09T00:00:00"/>
    <s v="Islam"/>
    <s v="M"/>
    <s v="TANGERANG"/>
    <d v="1984-12-26T00:00:00"/>
    <n v="1"/>
    <n v="41"/>
    <s v="Tidak"/>
    <x v="0"/>
    <s v="Senior Manager"/>
    <n v="18000000"/>
    <n v="2"/>
    <n v="36000000"/>
    <x v="1"/>
  </r>
  <r>
    <s v="E1703"/>
    <s v="Tuti Rahmawati"/>
    <s v="JAKARTA"/>
    <s v="Karyawan Tetap"/>
    <d v="2017-06-14T00:00:00"/>
    <s v="Islam"/>
    <s v="F"/>
    <s v="KARANGANYAR"/>
    <d v="1984-07-23T00:00:00"/>
    <n v="0.85"/>
    <n v="41"/>
    <s v="Tidak"/>
    <x v="0"/>
    <s v="General Manager"/>
    <n v="25000000"/>
    <n v="2"/>
    <n v="0"/>
    <x v="0"/>
  </r>
  <r>
    <s v="E2840"/>
    <s v="Eko Sutomo"/>
    <s v="JAKARTA"/>
    <s v="Karyawan Tetap"/>
    <d v="2022-12-05T00:00:00"/>
    <s v="Kristen"/>
    <s v="M"/>
    <s v="TOMOHON"/>
    <d v="1986-06-04T00:00:00"/>
    <n v="0.68"/>
    <n v="39"/>
    <s v="Tidak"/>
    <x v="1"/>
    <s v="Senior Manager"/>
    <n v="18000000"/>
    <n v="2"/>
    <n v="0"/>
    <x v="1"/>
  </r>
  <r>
    <s v="E1861"/>
    <s v="Rina Kurniati"/>
    <s v="JAKARTA"/>
    <s v="Karyawan Tetap"/>
    <d v="2018-04-16T00:00:00"/>
    <s v="Islam"/>
    <s v="F"/>
    <s v="JAKARTA"/>
    <d v="1994-03-01T00:00:00"/>
    <n v="0.64"/>
    <n v="31"/>
    <s v="Tidak"/>
    <x v="1"/>
    <s v="Junior Manager"/>
    <n v="12000000"/>
    <n v="2"/>
    <n v="0"/>
    <x v="0"/>
  </r>
  <r>
    <s v="N1860"/>
    <s v="Arif Setiawan"/>
    <s v="JAKARTA"/>
    <s v="Kontrak"/>
    <d v="2018-04-16T00:00:00"/>
    <s v="Islam"/>
    <s v="M"/>
    <s v="JAKARTA"/>
    <d v="1994-03-01T00:00:00"/>
    <n v="0.81"/>
    <n v="31"/>
    <s v="Tidak"/>
    <x v="0"/>
    <s v="Supervisor"/>
    <n v="7000000"/>
    <n v="1"/>
    <n v="0"/>
    <x v="1"/>
  </r>
  <r>
    <s v="N0951"/>
    <s v="Choky Sitohang"/>
    <s v="JAKARTA"/>
    <s v="Kontrak"/>
    <d v="2006-07-24T00:00:00"/>
    <s v="Islam"/>
    <s v="M"/>
    <s v="BLITAR"/>
    <d v="1983-02-17T00:00:00"/>
    <n v="0.73"/>
    <n v="42"/>
    <s v="Tidak"/>
    <x v="0"/>
    <s v="Supervisor"/>
    <n v="7000000"/>
    <n v="1"/>
    <n v="0"/>
    <x v="1"/>
  </r>
  <r>
    <s v="E2575"/>
    <s v="Retno Cahyani"/>
    <s v="JAKARTA"/>
    <s v="Karyawan Tetap"/>
    <d v="2022-01-10T00:00:00"/>
    <s v="Islam"/>
    <s v="F"/>
    <s v="PALEMBANG"/>
    <d v="1996-10-17T00:00:00"/>
    <n v="0.93"/>
    <n v="29"/>
    <s v="Tidak"/>
    <x v="0"/>
    <s v="Senior Staff"/>
    <n v="5000000"/>
    <n v="1"/>
    <n v="5000000"/>
    <x v="0"/>
  </r>
  <r>
    <s v="N2619"/>
    <s v="Benyamin Sueb"/>
    <s v="JAKARTA"/>
    <s v="Kontrak"/>
    <d v="2022-05-10T00:00:00"/>
    <s v="Kristen"/>
    <s v="M"/>
    <s v="JAKARTA"/>
    <d v="1985-01-19T00:00:00"/>
    <n v="0.71"/>
    <n v="40"/>
    <s v="Tidak"/>
    <x v="0"/>
    <s v="General Manager"/>
    <n v="25000000"/>
    <n v="2"/>
    <n v="0"/>
    <x v="1"/>
  </r>
  <r>
    <s v="E2321"/>
    <s v="Rudi Haryanto"/>
    <s v="MEDAN"/>
    <s v="Karyawan Tetap"/>
    <d v="2020-07-01T00:00:00"/>
    <s v="Islam"/>
    <s v="M"/>
    <s v="JAKARTA"/>
    <d v="1987-03-13T00:00:00"/>
    <n v="0.86"/>
    <n v="38"/>
    <s v="Tidak"/>
    <x v="0"/>
    <s v="General Manager"/>
    <n v="25000000"/>
    <n v="2"/>
    <n v="0"/>
    <x v="1"/>
  </r>
  <r>
    <s v="E2620"/>
    <s v="Alvaro Maldini"/>
    <s v="JAKARTA"/>
    <s v="Karyawan Tetap"/>
    <d v="2022-05-09T00:00:00"/>
    <s v="Islam"/>
    <s v="M"/>
    <s v="KUNINGAN"/>
    <d v="1996-01-16T00:00:00"/>
    <n v="0.89"/>
    <n v="29"/>
    <s v="Tidak"/>
    <x v="0"/>
    <s v="Senior Staff"/>
    <n v="5000000"/>
    <n v="1"/>
    <n v="0"/>
    <x v="1"/>
  </r>
  <r>
    <s v="E1690"/>
    <s v="Wati Sulistiani"/>
    <s v="JAKARTA"/>
    <s v="Karyawan Tetap"/>
    <d v="2017-05-15T00:00:00"/>
    <s v="Islam"/>
    <s v="F"/>
    <s v="JAKARTA"/>
    <d v="1993-03-24T00:00:00"/>
    <n v="0.98"/>
    <n v="32"/>
    <s v="Tidak"/>
    <x v="0"/>
    <s v="Supervisor"/>
    <n v="7000000"/>
    <n v="1"/>
    <n v="7000000"/>
    <x v="0"/>
  </r>
  <r>
    <s v="E1064"/>
    <s v="Budi Santoso"/>
    <s v="JAKARTA"/>
    <s v="Karyawan Tetap"/>
    <d v="2010-10-01T00:00:00"/>
    <s v="Islam"/>
    <s v="M"/>
    <s v="INDRAMAYU"/>
    <d v="1984-12-03T00:00:00"/>
    <n v="0.97"/>
    <n v="41"/>
    <s v="Tidak"/>
    <x v="0"/>
    <s v="Senior Manager"/>
    <n v="18000000"/>
    <n v="2"/>
    <n v="36000000"/>
    <x v="1"/>
  </r>
  <r>
    <s v="E1065"/>
    <s v="Indah Wulandari"/>
    <s v="JAKARTA"/>
    <s v="Karyawan Tetap"/>
    <d v="2010-10-01T00:00:00"/>
    <s v="Islam"/>
    <s v="F"/>
    <s v="MEDAN"/>
    <d v="1979-06-02T00:00:00"/>
    <n v="0.87"/>
    <n v="46"/>
    <s v="Tidak"/>
    <x v="0"/>
    <s v="Supervisor"/>
    <n v="7000000"/>
    <n v="1"/>
    <n v="0"/>
    <x v="0"/>
  </r>
  <r>
    <s v="E1841"/>
    <s v="Dodit Mulyanto"/>
    <s v="JAKARTA"/>
    <s v="Karyawan Tetap"/>
    <d v="2018-03-05T00:00:00"/>
    <s v="Islam"/>
    <s v="M"/>
    <s v="JAKARTA"/>
    <d v="1986-11-12T00:00:00"/>
    <n v="0.96"/>
    <n v="39"/>
    <s v="Tidak"/>
    <x v="0"/>
    <s v="Senior Staff"/>
    <n v="5000000"/>
    <n v="1"/>
    <n v="5000000"/>
    <x v="1"/>
  </r>
  <r>
    <s v="E2867"/>
    <s v="Putri Sari"/>
    <s v="JAKARTA"/>
    <s v="Karyawan Tetap"/>
    <d v="2023-01-02T00:00:00"/>
    <s v="Islam"/>
    <s v="F"/>
    <s v="TASIKMALAYA"/>
    <d v="1996-08-24T00:00:00"/>
    <n v="0.85"/>
    <n v="29"/>
    <s v="Tidak"/>
    <x v="0"/>
    <s v="Senior Staff"/>
    <n v="5000000"/>
    <n v="1"/>
    <n v="0"/>
    <x v="0"/>
  </r>
  <r>
    <s v="N1720"/>
    <s v="Al Ghazali"/>
    <s v="JAKARTA"/>
    <s v="Kontrak"/>
    <d v="2017-07-17T00:00:00"/>
    <s v="Islam"/>
    <s v="M"/>
    <s v="TRENGGALEK"/>
    <d v="1988-08-15T00:00:00"/>
    <n v="0.74"/>
    <n v="37"/>
    <s v="Tidak"/>
    <x v="0"/>
    <s v="General Manager"/>
    <n v="25000000"/>
    <n v="2"/>
    <n v="0"/>
    <x v="1"/>
  </r>
  <r>
    <s v="E1880"/>
    <s v="Retno Sulistyowati"/>
    <s v="JAKARTA"/>
    <s v="Karyawan Tetap"/>
    <d v="2018-06-21T00:00:00"/>
    <s v="Islam"/>
    <s v="F"/>
    <s v="BANDUNG"/>
    <d v="1989-02-05T00:00:00"/>
    <n v="0.77"/>
    <n v="36"/>
    <s v="Tidak"/>
    <x v="0"/>
    <s v="Senior Manager"/>
    <n v="18000000"/>
    <n v="2"/>
    <n v="0"/>
    <x v="0"/>
  </r>
  <r>
    <s v="E1929"/>
    <s v="Alvin Adam"/>
    <s v="JAKARTA"/>
    <s v="Karyawan Tetap"/>
    <d v="2018-09-03T00:00:00"/>
    <s v="Islam"/>
    <s v="M"/>
    <s v="GROBOGAN"/>
    <d v="1995-02-10T00:00:00"/>
    <n v="0.62"/>
    <n v="30"/>
    <s v="Tidak"/>
    <x v="1"/>
    <s v="Staff"/>
    <n v="4000000"/>
    <n v="1"/>
    <n v="0"/>
    <x v="1"/>
  </r>
  <r>
    <s v="E0911"/>
    <s v="Nita Permata"/>
    <s v="BANDUNG"/>
    <s v="Karyawan Tetap"/>
    <d v="2005-07-01T00:00:00"/>
    <s v="Islam"/>
    <s v="M"/>
    <s v="SIDOARJO"/>
    <d v="1980-09-05T00:00:00"/>
    <n v="0.91"/>
    <n v="45"/>
    <s v="Tidak"/>
    <x v="0"/>
    <s v="Supervisor"/>
    <n v="7000000"/>
    <n v="1"/>
    <n v="7000000"/>
    <x v="1"/>
  </r>
  <r>
    <s v="E2170"/>
    <s v="Bertrand Antolin"/>
    <s v="JAKARTA"/>
    <s v="Karyawan Tetap"/>
    <d v="2019-12-09T00:00:00"/>
    <s v="Islam"/>
    <s v="M"/>
    <s v="JAKARTA"/>
    <d v="1996-03-30T00:00:00"/>
    <n v="0.61"/>
    <n v="29"/>
    <s v="Tidak"/>
    <x v="1"/>
    <s v="Supervisor"/>
    <n v="7000000"/>
    <n v="1"/>
    <n v="0"/>
    <x v="1"/>
  </r>
  <r>
    <s v="E1111"/>
    <s v="Wulan Puspita"/>
    <s v="JAKARTA"/>
    <s v="Karyawan Tetap"/>
    <d v="2012-09-17T00:00:00"/>
    <s v="Islam"/>
    <s v="F"/>
    <s v="BANDUNG"/>
    <d v="1985-10-14T00:00:00"/>
    <n v="0.84"/>
    <n v="40"/>
    <s v="Tidak"/>
    <x v="0"/>
    <s v="Junior Manager"/>
    <n v="12000000"/>
    <n v="2"/>
    <n v="0"/>
    <x v="0"/>
  </r>
  <r>
    <s v="E1081"/>
    <s v="Maya Wati"/>
    <s v="JAKARTA"/>
    <s v="Karyawan Tetap"/>
    <d v="2012-01-02T00:00:00"/>
    <s v="Islam"/>
    <s v="F"/>
    <s v="TAMAN SARI"/>
    <d v="1989-04-20T00:00:00"/>
    <n v="0.76"/>
    <n v="36"/>
    <s v="Tidak"/>
    <x v="0"/>
    <s v="Supervisor"/>
    <n v="7000000"/>
    <n v="1"/>
    <n v="0"/>
    <x v="0"/>
  </r>
  <r>
    <s v="E2134"/>
    <s v="Aaron Ashab"/>
    <s v="JAKARTA"/>
    <s v="Karyawan Tetap"/>
    <d v="2019-10-10T00:00:00"/>
    <s v="Islam"/>
    <s v="M"/>
    <s v="PADANG"/>
    <d v="1990-07-07T00:00:00"/>
    <n v="0.89"/>
    <n v="35"/>
    <s v="Tidak"/>
    <x v="0"/>
    <s v="Staff"/>
    <n v="4000000"/>
    <n v="1"/>
    <n v="0"/>
    <x v="1"/>
  </r>
  <r>
    <s v="N2584"/>
    <s v="Surya Permana"/>
    <s v="MALANG"/>
    <s v="Kontrak"/>
    <d v="2022-02-02T00:00:00"/>
    <s v="Islam"/>
    <s v="M"/>
    <s v="MALANG"/>
    <d v="1991-07-07T00:00:00"/>
    <n v="0.73"/>
    <n v="34"/>
    <s v="Tidak"/>
    <x v="0"/>
    <s v="Supervisor"/>
    <n v="7000000"/>
    <n v="1"/>
    <n v="0"/>
    <x v="1"/>
  </r>
  <r>
    <s v="N2583"/>
    <s v="Retno Purnomo"/>
    <s v="MALANG"/>
    <s v="Kontrak"/>
    <d v="2022-02-02T00:00:00"/>
    <s v="Islam"/>
    <s v="F"/>
    <s v="MALANG"/>
    <d v="1991-07-07T00:00:00"/>
    <n v="0.8"/>
    <n v="34"/>
    <s v="Tidak"/>
    <x v="0"/>
    <s v="Supervisor"/>
    <n v="7000000"/>
    <n v="1"/>
    <n v="0"/>
    <x v="0"/>
  </r>
  <r>
    <s v="N1453"/>
    <s v="Joko Susanto"/>
    <s v="JAKARTA"/>
    <s v="Kontrak"/>
    <d v="2016-02-01T00:00:00"/>
    <s v="Islam"/>
    <s v="M"/>
    <s v="BANYUWANGI"/>
    <d v="1980-02-25T00:00:00"/>
    <n v="0.73"/>
    <n v="45"/>
    <s v="Tidak"/>
    <x v="0"/>
    <s v="CEO"/>
    <n v="40000000"/>
    <n v="2"/>
    <n v="0"/>
    <x v="1"/>
  </r>
  <r>
    <s v="E1491"/>
    <s v="Donny Alamsyah"/>
    <s v="JAKARTA"/>
    <s v="Karyawan Tetap"/>
    <d v="2016-02-10T00:00:00"/>
    <s v="Islam"/>
    <s v="M"/>
    <s v="JAKARTA"/>
    <d v="1989-03-16T00:00:00"/>
    <n v="0.84"/>
    <n v="36"/>
    <s v="Tidak"/>
    <x v="0"/>
    <s v="Staff"/>
    <n v="4000000"/>
    <n v="1"/>
    <n v="0"/>
    <x v="1"/>
  </r>
  <r>
    <s v="E1490"/>
    <s v="Nia Fitriani"/>
    <s v="JAKARTA"/>
    <s v="Karyawan Tetap"/>
    <d v="2016-02-10T00:00:00"/>
    <s v="Islam"/>
    <s v="F"/>
    <s v="JAKARTA"/>
    <d v="1989-03-16T00:00:00"/>
    <n v="1"/>
    <n v="36"/>
    <s v="Tidak"/>
    <x v="0"/>
    <s v="Senior Staff"/>
    <n v="5000000"/>
    <n v="1"/>
    <n v="5000000"/>
    <x v="0"/>
  </r>
  <r>
    <s v="E2201"/>
    <s v="Astuti Hartati"/>
    <s v="JAKARTA"/>
    <s v="Karyawan Tetap"/>
    <d v="2020-01-20T00:00:00"/>
    <s v="Islam"/>
    <s v="F"/>
    <s v="BANDUNG"/>
    <d v="1992-08-21T00:00:00"/>
    <n v="0.86"/>
    <n v="33"/>
    <s v="Tidak"/>
    <x v="0"/>
    <s v="Senior Staff"/>
    <n v="5000000"/>
    <n v="1"/>
    <n v="0"/>
    <x v="0"/>
  </r>
  <r>
    <s v="N1134"/>
    <s v="Rizal Prasetya"/>
    <s v="DENPASAR"/>
    <s v="Kontrak"/>
    <d v="2013-02-18T00:00:00"/>
    <s v="Islam"/>
    <s v="M"/>
    <s v="JEMBER"/>
    <d v="1986-04-10T00:00:00"/>
    <n v="0.76"/>
    <n v="39"/>
    <s v="Tidak"/>
    <x v="0"/>
    <s v="Supervisor"/>
    <n v="7000000"/>
    <n v="1"/>
    <n v="0"/>
    <x v="1"/>
  </r>
  <r>
    <s v="N1068"/>
    <s v="Nita Wulandari"/>
    <s v="JAKARTA"/>
    <s v="Kontrak"/>
    <d v="2011-04-11T00:00:00"/>
    <s v="Islam"/>
    <s v="F"/>
    <s v="SRAGEN"/>
    <d v="1987-03-13T00:00:00"/>
    <n v="0.95"/>
    <n v="38"/>
    <s v="Tidak"/>
    <x v="0"/>
    <s v="Supervisor"/>
    <n v="7000000"/>
    <n v="1"/>
    <n v="7000000"/>
    <x v="0"/>
  </r>
  <r>
    <s v="E0896"/>
    <s v="Esa Sigit"/>
    <s v="JAKARTA"/>
    <s v="Karyawan Tetap"/>
    <d v="2004-05-10T00:00:00"/>
    <s v="Islam"/>
    <s v="M"/>
    <s v="JAKARTA"/>
    <d v="1975-08-09T00:00:00"/>
    <n v="0.73"/>
    <n v="50"/>
    <s v="Ya"/>
    <x v="0"/>
    <s v="Senior Staff"/>
    <n v="5000000"/>
    <n v="1"/>
    <n v="0"/>
    <x v="1"/>
  </r>
  <r>
    <s v="E0931"/>
    <s v="Rika Sari"/>
    <s v="JAKARTA"/>
    <s v="Karyawan Tetap"/>
    <d v="2006-05-01T00:00:00"/>
    <s v="Islam"/>
    <s v="M"/>
    <s v="JAKARTA"/>
    <d v="1979-02-16T00:00:00"/>
    <n v="0.87"/>
    <n v="46"/>
    <s v="Tidak"/>
    <x v="0"/>
    <s v="Staff"/>
    <n v="4000000"/>
    <n v="1"/>
    <n v="0"/>
    <x v="1"/>
  </r>
  <r>
    <s v="E0813"/>
    <s v="Winda Pertiwi"/>
    <s v="JAKARTA"/>
    <s v="Karyawan Tetap"/>
    <d v="2000-06-01T00:00:00"/>
    <s v="Islam"/>
    <s v="F"/>
    <s v="JAKARTA"/>
    <d v="1971-11-01T00:00:00"/>
    <n v="0.71"/>
    <n v="54"/>
    <s v="Ya"/>
    <x v="0"/>
    <s v="Senior Staff"/>
    <n v="5000000"/>
    <n v="1"/>
    <n v="0"/>
    <x v="0"/>
  </r>
  <r>
    <s v="E3144"/>
    <s v="Agus Santoso"/>
    <s v="JAKARTA"/>
    <s v="Karyawan Tetap"/>
    <d v="2024-03-01T00:00:00"/>
    <s v="Islam"/>
    <s v="M"/>
    <s v="JAKARTA"/>
    <d v="1995-02-15T00:00:00"/>
    <n v="0.66"/>
    <n v="30"/>
    <s v="Tidak"/>
    <x v="1"/>
    <s v="Supervisor"/>
    <n v="7000000"/>
    <n v="1"/>
    <n v="0"/>
    <x v="1"/>
  </r>
  <r>
    <s v="E3143"/>
    <s v="Rudi Prasetya"/>
    <s v="JAKARTA"/>
    <s v="Karyawan Tetap"/>
    <d v="2024-03-01T00:00:00"/>
    <s v="Islam"/>
    <s v="M"/>
    <s v="JAKARTA"/>
    <d v="1995-02-15T00:00:00"/>
    <n v="0.88"/>
    <n v="30"/>
    <s v="Tidak"/>
    <x v="0"/>
    <s v="Staff"/>
    <n v="4000000"/>
    <n v="1"/>
    <n v="0"/>
    <x v="1"/>
  </r>
  <r>
    <s v="N2114"/>
    <s v="Dedy Santoso"/>
    <s v="JAKARTA"/>
    <s v="Kontrak"/>
    <d v="2019-09-02T00:00:00"/>
    <s v="Islam"/>
    <s v="M"/>
    <s v="CILACAP"/>
    <d v="1993-08-28T00:00:00"/>
    <n v="0.91"/>
    <n v="32"/>
    <s v="Tidak"/>
    <x v="0"/>
    <s v="Senior Staff"/>
    <n v="5000000"/>
    <n v="1"/>
    <n v="5000000"/>
    <x v="1"/>
  </r>
  <r>
    <s v="E1885"/>
    <s v="Bagus Satria"/>
    <s v="MEDAN"/>
    <s v="Karyawan Tetap"/>
    <d v="2018-07-02T00:00:00"/>
    <s v="Islam"/>
    <s v="M"/>
    <s v="SUMATRA UTARA"/>
    <d v="1992-07-05T00:00:00"/>
    <n v="0.79"/>
    <n v="33"/>
    <s v="Tidak"/>
    <x v="0"/>
    <s v="Junior Manager"/>
    <n v="12000000"/>
    <n v="2"/>
    <n v="0"/>
    <x v="1"/>
  </r>
  <r>
    <s v="E2898"/>
    <s v="Ahmad Hidayat"/>
    <s v="JAKARTA"/>
    <s v="Karyawan Tetap"/>
    <d v="2023-03-20T00:00:00"/>
    <s v="Islam"/>
    <s v="M"/>
    <s v="JAKARTA"/>
    <d v="1996-10-13T00:00:00"/>
    <n v="0.76"/>
    <n v="29"/>
    <s v="Tidak"/>
    <x v="0"/>
    <s v="Staff"/>
    <n v="4000000"/>
    <n v="1"/>
    <n v="0"/>
    <x v="1"/>
  </r>
  <r>
    <s v="N1565"/>
    <s v="Sigit Saputra"/>
    <s v="JAKARTA"/>
    <s v="Kontrak"/>
    <d v="2016-08-01T00:00:00"/>
    <s v="Islam"/>
    <s v="M"/>
    <s v="JAKARTA"/>
    <d v="1978-10-31T00:00:00"/>
    <n v="0.71"/>
    <n v="47"/>
    <s v="Tidak"/>
    <x v="0"/>
    <s v="General Manager"/>
    <n v="25000000"/>
    <n v="2"/>
    <n v="0"/>
    <x v="1"/>
  </r>
  <r>
    <s v="N2378"/>
    <s v="Agus Nugroho"/>
    <s v="JAKARTA"/>
    <s v="Kontrak"/>
    <d v="2020-10-19T00:00:00"/>
    <s v="Islam"/>
    <s v="M"/>
    <s v="JOMBANG"/>
    <d v="1996-08-03T00:00:00"/>
    <n v="0.75"/>
    <n v="29"/>
    <s v="Tidak"/>
    <x v="0"/>
    <s v="General Manager"/>
    <n v="25000000"/>
    <n v="2"/>
    <n v="0"/>
    <x v="1"/>
  </r>
  <r>
    <s v="N1191"/>
    <s v="Joko Sutrisno"/>
    <s v="JAKARTA"/>
    <s v="Kontrak"/>
    <d v="2014-11-01T00:00:00"/>
    <s v="Islam"/>
    <s v="M"/>
    <s v="BOGOR"/>
    <d v="1985-11-26T00:00:00"/>
    <n v="0.81"/>
    <n v="40"/>
    <s v="Tidak"/>
    <x v="0"/>
    <s v="General Manager"/>
    <n v="25000000"/>
    <n v="2"/>
    <n v="0"/>
    <x v="1"/>
  </r>
  <r>
    <s v="E1601"/>
    <s v="Iwan Prasetyo"/>
    <s v="JAKARTA"/>
    <s v="Karyawan Tetap"/>
    <d v="2016-12-01T00:00:00"/>
    <s v="Islam"/>
    <s v="M"/>
    <s v="GRESIK"/>
    <d v="1988-03-26T00:00:00"/>
    <n v="1"/>
    <n v="37"/>
    <s v="Tidak"/>
    <x v="0"/>
    <s v="Senior Staff"/>
    <n v="5000000"/>
    <n v="1"/>
    <n v="5000000"/>
    <x v="1"/>
  </r>
  <r>
    <s v="E3140"/>
    <s v="Dodi Nugraha"/>
    <s v="JAKARTA"/>
    <s v="Karyawan Tetap"/>
    <d v="2024-03-01T00:00:00"/>
    <s v="Islam"/>
    <s v="M"/>
    <s v="JAKARTA"/>
    <d v="1994-12-19T00:00:00"/>
    <n v="0.91"/>
    <n v="31"/>
    <s v="Tidak"/>
    <x v="0"/>
    <s v="Supervisor"/>
    <n v="7000000"/>
    <n v="1"/>
    <n v="7000000"/>
    <x v="1"/>
  </r>
  <r>
    <s v="E3142"/>
    <s v="Rika Sari"/>
    <s v="JAKARTA"/>
    <s v="Karyawan Tetap"/>
    <d v="2024-03-01T00:00:00"/>
    <s v="Islam"/>
    <s v="F"/>
    <s v="JAKARTA"/>
    <d v="1994-12-19T00:00:00"/>
    <n v="0.62"/>
    <n v="31"/>
    <s v="Tidak"/>
    <x v="1"/>
    <s v="Senior Staff"/>
    <n v="5000000"/>
    <n v="1"/>
    <n v="0"/>
    <x v="0"/>
  </r>
  <r>
    <s v="E1604"/>
    <s v="Dian Purnama"/>
    <s v="JAKARTA"/>
    <s v="Karyawan Tetap"/>
    <d v="2016-12-13T00:00:00"/>
    <s v="Islam"/>
    <s v="F"/>
    <s v="TUAL"/>
    <d v="1988-02-18T00:00:00"/>
    <n v="0.72"/>
    <n v="37"/>
    <s v="Tidak"/>
    <x v="0"/>
    <s v="Senior Staff"/>
    <n v="5000000"/>
    <n v="1"/>
    <n v="0"/>
    <x v="0"/>
  </r>
  <r>
    <s v="E0892"/>
    <s v="Ernest Prakasa"/>
    <s v="JAKARTA"/>
    <s v="Karyawan Tetap"/>
    <d v="2004-03-11T00:00:00"/>
    <s v="Islam"/>
    <s v="M"/>
    <s v="JAKARTA"/>
    <d v="1976-11-03T00:00:00"/>
    <n v="0.77"/>
    <n v="49"/>
    <s v="Tidak"/>
    <x v="0"/>
    <s v="Staff"/>
    <n v="4000000"/>
    <n v="1"/>
    <n v="0"/>
    <x v="1"/>
  </r>
  <r>
    <s v="E1109"/>
    <s v="Yudi Susilo"/>
    <s v="JAKARTA"/>
    <s v="Karyawan Tetap"/>
    <d v="2012-09-10T00:00:00"/>
    <s v="Islam"/>
    <s v="M"/>
    <s v="KARANGANYAR"/>
    <d v="1990-04-21T00:00:00"/>
    <n v="0.65"/>
    <n v="35"/>
    <s v="Tidak"/>
    <x v="1"/>
    <s v="Senior Staff"/>
    <n v="5000000"/>
    <n v="1"/>
    <n v="0"/>
    <x v="1"/>
  </r>
  <r>
    <s v="E2885"/>
    <s v="Retno Purnomo"/>
    <s v="JAKARTA"/>
    <s v="Karyawan Tetap"/>
    <d v="2023-02-01T00:00:00"/>
    <s v="Islam"/>
    <s v="M"/>
    <s v="INDRAMAYU"/>
    <d v="1986-07-10T00:00:00"/>
    <n v="0.78"/>
    <n v="39"/>
    <s v="Tidak"/>
    <x v="0"/>
    <s v="Junior Manager"/>
    <n v="12000000"/>
    <n v="2"/>
    <n v="0"/>
    <x v="1"/>
  </r>
  <r>
    <s v="E1456"/>
    <s v="Rudi Hartono"/>
    <s v="JAKARTA"/>
    <s v="Karyawan Tetap"/>
    <d v="2016-02-01T00:00:00"/>
    <s v="Islam"/>
    <s v="M"/>
    <s v="TANGERANG"/>
    <d v="1971-10-30T00:00:00"/>
    <n v="0.71"/>
    <n v="54"/>
    <s v="Ya"/>
    <x v="0"/>
    <s v="Senior Staff"/>
    <n v="5000000"/>
    <n v="1"/>
    <n v="0"/>
    <x v="1"/>
  </r>
  <r>
    <s v="E1393"/>
    <s v="Rani Kartika"/>
    <s v="JAKARTA"/>
    <s v="Karyawan Tetap"/>
    <d v="2016-02-01T00:00:00"/>
    <s v="Islam"/>
    <s v="F"/>
    <s v="TULUNGAGUNG"/>
    <d v="1986-01-08T00:00:00"/>
    <n v="0.63"/>
    <n v="39"/>
    <s v="Tidak"/>
    <x v="1"/>
    <s v="Senior Staff"/>
    <n v="5000000"/>
    <n v="1"/>
    <n v="0"/>
    <x v="0"/>
  </r>
  <r>
    <s v="E2322"/>
    <s v="Hadi Nugroho"/>
    <s v="JAKARTA"/>
    <s v="Karyawan Tetap"/>
    <d v="2020-07-01T00:00:00"/>
    <s v="Islam"/>
    <s v="M"/>
    <s v="JAKARTA"/>
    <d v="1993-01-16T00:00:00"/>
    <n v="0.72"/>
    <n v="32"/>
    <s v="Tidak"/>
    <x v="0"/>
    <s v="Senior Staff"/>
    <n v="5000000"/>
    <n v="1"/>
    <n v="0"/>
    <x v="1"/>
  </r>
  <r>
    <s v="E0806"/>
    <s v="Rina Dewi"/>
    <s v="JAKARTA"/>
    <s v="Karyawan Tetap"/>
    <d v="2000-05-01T00:00:00"/>
    <s v="Islam"/>
    <s v="F"/>
    <s v="BANDUNG"/>
    <d v="1970-05-29T00:00:00"/>
    <n v="0.91"/>
    <n v="55"/>
    <s v="Ya"/>
    <x v="0"/>
    <s v="Supervisor"/>
    <n v="7000000"/>
    <n v="1"/>
    <n v="7000000"/>
    <x v="0"/>
  </r>
  <r>
    <s v="E1866"/>
    <s v="Agung Prasetyo"/>
    <s v="JAKARTA"/>
    <s v="Karyawan Tetap"/>
    <d v="2018-05-07T00:00:00"/>
    <s v="Islam"/>
    <s v="M"/>
    <s v="JAKARTA"/>
    <d v="1993-12-11T00:00:00"/>
    <n v="0.66"/>
    <n v="32"/>
    <s v="Tidak"/>
    <x v="1"/>
    <s v="Staff"/>
    <n v="4000000"/>
    <n v="1"/>
    <n v="0"/>
    <x v="1"/>
  </r>
  <r>
    <s v="E2600"/>
    <s v="Sari Wulandari"/>
    <s v="JAKARTA"/>
    <s v="Karyawan Tetap"/>
    <d v="2022-03-21T00:00:00"/>
    <s v="Islam"/>
    <s v="F"/>
    <s v="DI YOGYAKARTA"/>
    <d v="1995-07-16T00:00:00"/>
    <n v="0.88"/>
    <n v="30"/>
    <s v="Tidak"/>
    <x v="0"/>
    <s v="Staff"/>
    <n v="4000000"/>
    <n v="1"/>
    <n v="0"/>
    <x v="0"/>
  </r>
  <r>
    <s v="E0956"/>
    <s v="Wahyu Prasetyo"/>
    <s v="JAKARTA"/>
    <s v="Karyawan Tetap"/>
    <d v="2006-08-01T00:00:00"/>
    <s v="Islam"/>
    <s v="M"/>
    <s v="BANDUNG"/>
    <d v="1979-09-03T00:00:00"/>
    <n v="0.96"/>
    <n v="46"/>
    <s v="Tidak"/>
    <x v="0"/>
    <s v="Supervisor"/>
    <n v="7000000"/>
    <n v="1"/>
    <n v="7000000"/>
    <x v="1"/>
  </r>
  <r>
    <s v="N2070"/>
    <s v="Bhisma Mulia"/>
    <s v="JAKARTA"/>
    <s v="Kontrak"/>
    <d v="2019-06-10T00:00:00"/>
    <s v="Islam"/>
    <s v="M"/>
    <s v="PURWOKERTO"/>
    <d v="1994-03-18T00:00:00"/>
    <n v="0.82"/>
    <n v="31"/>
    <s v="Tidak"/>
    <x v="0"/>
    <s v="Staff"/>
    <n v="4000000"/>
    <n v="1"/>
    <n v="0"/>
    <x v="1"/>
  </r>
  <r>
    <s v="N2777"/>
    <s v="Mega Fitri"/>
    <s v="JAKARTA"/>
    <s v="Kontrak"/>
    <d v="2022-09-05T00:00:00"/>
    <s v="Islam"/>
    <s v="F"/>
    <s v="BOGOR"/>
    <d v="1997-08-29T00:00:00"/>
    <n v="0.68"/>
    <n v="28"/>
    <s v="Tidak"/>
    <x v="1"/>
    <s v="Staff"/>
    <n v="4000000"/>
    <n v="1"/>
    <n v="0"/>
    <x v="0"/>
  </r>
  <r>
    <s v="E1718"/>
    <s v="Bambang Wijaya"/>
    <s v="JAKARTA"/>
    <s v="Karyawan Tetap"/>
    <d v="2017-07-17T00:00:00"/>
    <s v="Islam"/>
    <s v="M"/>
    <s v="JAKARTA"/>
    <d v="1993-10-07T00:00:00"/>
    <n v="0.83"/>
    <n v="32"/>
    <s v="Tidak"/>
    <x v="0"/>
    <s v="Staff"/>
    <n v="4000000"/>
    <n v="1"/>
    <n v="0"/>
    <x v="1"/>
  </r>
  <r>
    <s v="E1719"/>
    <s v="Maya Lestari"/>
    <s v="JAKARTA"/>
    <s v="Karyawan Tetap"/>
    <d v="2017-07-17T00:00:00"/>
    <s v="Islam"/>
    <s v="F"/>
    <s v="JAKARTA"/>
    <d v="1993-10-07T00:00:00"/>
    <n v="0.66"/>
    <n v="32"/>
    <s v="Tidak"/>
    <x v="1"/>
    <s v="Senior Staff"/>
    <n v="5000000"/>
    <n v="1"/>
    <n v="0"/>
    <x v="0"/>
  </r>
  <r>
    <s v="E1994"/>
    <s v="Adi Nugroho"/>
    <s v="JAKARTA"/>
    <s v="Karyawan Tetap"/>
    <d v="2018-12-06T00:00:00"/>
    <s v="Islam"/>
    <s v="M"/>
    <s v="SEMARANG"/>
    <d v="1992-11-05T00:00:00"/>
    <n v="0.65"/>
    <n v="33"/>
    <s v="Tidak"/>
    <x v="1"/>
    <s v="Senior Staff"/>
    <n v="5000000"/>
    <n v="1"/>
    <n v="0"/>
    <x v="1"/>
  </r>
  <r>
    <s v="N0795"/>
    <s v="Dolly Martin"/>
    <s v="JAKARTA"/>
    <s v="Kontrak"/>
    <d v="2000-03-13T00:00:00"/>
    <s v="Islam"/>
    <s v="M"/>
    <s v="TANJUNG KARANG"/>
    <d v="1977-03-06T00:00:00"/>
    <n v="0.63"/>
    <n v="48"/>
    <s v="Tidak"/>
    <x v="1"/>
    <s v="Staff"/>
    <n v="4000000"/>
    <n v="1"/>
    <n v="0"/>
    <x v="1"/>
  </r>
  <r>
    <s v="N1708"/>
    <s v="Wulan Indriani"/>
    <s v="JAKARTA"/>
    <s v="Kontrak"/>
    <d v="2017-07-03T00:00:00"/>
    <s v="Islam"/>
    <s v="F"/>
    <s v="JAKARTA"/>
    <d v="1987-12-01T00:00:00"/>
    <n v="0.8"/>
    <n v="38"/>
    <s v="Tidak"/>
    <x v="0"/>
    <s v="Staff"/>
    <n v="4000000"/>
    <n v="1"/>
    <n v="0"/>
    <x v="0"/>
  </r>
  <r>
    <s v="E2071"/>
    <s v="Rina Nurhayati"/>
    <s v="JAKARTA"/>
    <s v="Karyawan Tetap"/>
    <d v="2019-06-11T00:00:00"/>
    <s v="Islam"/>
    <s v="F"/>
    <s v="JAKARTA"/>
    <d v="1994-02-05T00:00:00"/>
    <n v="0.81"/>
    <n v="31"/>
    <s v="Tidak"/>
    <x v="0"/>
    <s v="Senior Staff"/>
    <n v="5000000"/>
    <n v="1"/>
    <n v="0"/>
    <x v="0"/>
  </r>
  <r>
    <s v="E1049"/>
    <s v="Raina Aryani"/>
    <s v="JAKARTA"/>
    <s v="Karyawan Tetap"/>
    <d v="2008-10-20T00:00:00"/>
    <s v="Islam"/>
    <s v="F"/>
    <s v="JAKARTA"/>
    <d v="1985-08-28T00:00:00"/>
    <n v="0.74"/>
    <n v="40"/>
    <s v="Tidak"/>
    <x v="0"/>
    <s v="Senior Staff"/>
    <n v="5000000"/>
    <n v="1"/>
    <n v="0"/>
    <x v="0"/>
  </r>
  <r>
    <s v="E1227"/>
    <s v="Tari Anggraini"/>
    <s v="JAKARTA"/>
    <s v="Karyawan Tetap"/>
    <d v="2015-03-02T00:00:00"/>
    <s v="Islam"/>
    <s v="F"/>
    <s v="JAKARTA"/>
    <d v="1989-10-28T00:00:00"/>
    <n v="1"/>
    <n v="36"/>
    <s v="Tidak"/>
    <x v="0"/>
    <s v="Staff"/>
    <n v="4000000"/>
    <n v="1"/>
    <n v="4000000"/>
    <x v="0"/>
  </r>
  <r>
    <s v="E1138"/>
    <s v="Karen Riyanti"/>
    <s v="JAKARTA"/>
    <s v="Karyawan Tetap"/>
    <d v="2013-04-01T00:00:00"/>
    <s v="Islam"/>
    <s v="F"/>
    <s v="BANDUNG"/>
    <d v="1985-08-20T00:00:00"/>
    <n v="0.6"/>
    <n v="40"/>
    <s v="Tidak"/>
    <x v="1"/>
    <s v="Supervisor"/>
    <n v="7000000"/>
    <n v="1"/>
    <n v="0"/>
    <x v="0"/>
  </r>
  <r>
    <s v="E0991"/>
    <s v="Titin Aryani"/>
    <s v="JAKARTA"/>
    <s v="Karyawan Tetap"/>
    <d v="2007-03-26T00:00:00"/>
    <s v="Islam"/>
    <s v="F"/>
    <s v="SITUBONDO"/>
    <d v="1983-07-15T00:00:00"/>
    <n v="0.67"/>
    <n v="42"/>
    <s v="Tidak"/>
    <x v="1"/>
    <s v="Supervisor"/>
    <n v="7000000"/>
    <n v="1"/>
    <n v="0"/>
    <x v="0"/>
  </r>
  <r>
    <s v="E2585"/>
    <s v="Ilsa Utami"/>
    <s v="JAKARTA"/>
    <s v="Karyawan Tetap"/>
    <d v="2022-02-02T00:00:00"/>
    <s v="Islam"/>
    <s v="F"/>
    <s v="SALATIGA"/>
    <d v="1990-10-22T00:00:00"/>
    <n v="0.83"/>
    <n v="35"/>
    <s v="Tidak"/>
    <x v="0"/>
    <s v="Senior Staff"/>
    <n v="5000000"/>
    <n v="1"/>
    <n v="0"/>
    <x v="0"/>
  </r>
  <r>
    <s v="N2803"/>
    <s v="Jessica Hariyah"/>
    <s v="JAKARTA"/>
    <s v="Kontrak"/>
    <d v="2022-10-24T00:00:00"/>
    <s v="Islam"/>
    <s v="F"/>
    <s v="CILACAP"/>
    <d v="1998-09-20T00:00:00"/>
    <n v="0.61"/>
    <n v="27"/>
    <s v="Tidak"/>
    <x v="1"/>
    <s v="Senior Staff"/>
    <n v="5000000"/>
    <n v="1"/>
    <n v="0"/>
    <x v="0"/>
  </r>
  <r>
    <s v="E0948"/>
    <s v="Almira Hasanah"/>
    <s v="JAKARTA"/>
    <s v="Karyawan Tetap"/>
    <d v="2006-06-01T00:00:00"/>
    <s v="Islam"/>
    <s v="F"/>
    <s v="JAKARTA"/>
    <d v="1978-07-20T00:00:00"/>
    <n v="0.64"/>
    <n v="47"/>
    <s v="Tidak"/>
    <x v="1"/>
    <s v="Supervisor"/>
    <n v="7000000"/>
    <n v="1"/>
    <n v="0"/>
    <x v="0"/>
  </r>
  <r>
    <s v="E1863"/>
    <s v="Sari Astuti"/>
    <s v="JAKARTA"/>
    <s v="Karyawan Tetap"/>
    <d v="2018-04-26T00:00:00"/>
    <s v="Islam"/>
    <s v="F"/>
    <s v="JAKARTA"/>
    <d v="1986-05-30T00:00:00"/>
    <n v="0.87"/>
    <n v="39"/>
    <s v="Tidak"/>
    <x v="0"/>
    <s v="Senior Staff"/>
    <n v="5000000"/>
    <n v="1"/>
    <n v="0"/>
    <x v="0"/>
  </r>
  <r>
    <s v="E2819"/>
    <s v="Aurora Anggraini"/>
    <s v="JAKARTA"/>
    <s v="Karyawan Tetap"/>
    <d v="2022-11-21T00:00:00"/>
    <s v="Islam"/>
    <s v="F"/>
    <s v="TULUNGAGUNG"/>
    <d v="1989-10-07T00:00:00"/>
    <n v="1"/>
    <n v="36"/>
    <s v="Tidak"/>
    <x v="0"/>
    <s v="Senior Staff"/>
    <n v="5000000"/>
    <n v="1"/>
    <n v="5000000"/>
    <x v="0"/>
  </r>
  <r>
    <s v="N2549"/>
    <s v="Vivi Andriani"/>
    <s v="JAKARTA"/>
    <s v="Kontrak"/>
    <d v="2021-12-01T00:00:00"/>
    <s v="Islam"/>
    <s v="F"/>
    <s v="JAKARTA"/>
    <d v="1994-10-20T00:00:00"/>
    <n v="0.89"/>
    <n v="31"/>
    <s v="Tidak"/>
    <x v="0"/>
    <s v="Staff"/>
    <n v="4000000"/>
    <n v="1"/>
    <n v="0"/>
    <x v="0"/>
  </r>
  <r>
    <s v="N1991"/>
    <s v="Eka Nashiruddin"/>
    <s v="JAKARTA"/>
    <s v="Kontrak"/>
    <d v="2018-11-26T00:00:00"/>
    <s v="Islam"/>
    <s v="F"/>
    <s v="JAKARTA"/>
    <d v="1988-04-09T00:00:00"/>
    <n v="0.82"/>
    <n v="37"/>
    <s v="Tidak"/>
    <x v="0"/>
    <s v="Supervisor"/>
    <n v="7000000"/>
    <n v="1"/>
    <n v="0"/>
    <x v="0"/>
  </r>
  <r>
    <s v="E2082"/>
    <s v="Adiarja Sirait"/>
    <s v="JAKARTA"/>
    <s v="Karyawan Tetap"/>
    <d v="2019-07-01T00:00:00"/>
    <s v="Islam"/>
    <s v="M"/>
    <s v="BANDUNG"/>
    <d v="1991-04-07T00:00:00"/>
    <n v="0.76"/>
    <n v="34"/>
    <s v="Tidak"/>
    <x v="0"/>
    <s v="Staff"/>
    <n v="4000000"/>
    <n v="1"/>
    <n v="0"/>
    <x v="1"/>
  </r>
  <r>
    <s v="E1989"/>
    <s v="Sidiq Pranowo"/>
    <s v="JAKARTA"/>
    <s v="Karyawan Tetap"/>
    <d v="2018-11-12T00:00:00"/>
    <s v="Islam"/>
    <s v="M"/>
    <s v="BEKASI"/>
    <d v="1989-09-08T00:00:00"/>
    <n v="0.94"/>
    <n v="36"/>
    <s v="Tidak"/>
    <x v="0"/>
    <s v="Senior Staff"/>
    <n v="5000000"/>
    <n v="1"/>
    <n v="5000000"/>
    <x v="1"/>
  </r>
  <r>
    <s v="E1987"/>
    <s v="Harsana Budiman"/>
    <s v="JAKARTA"/>
    <s v="Karyawan Tetap"/>
    <d v="2018-11-12T00:00:00"/>
    <s v="Islam"/>
    <s v="M"/>
    <s v="BEKASI"/>
    <d v="1989-09-08T00:00:00"/>
    <n v="0.76"/>
    <n v="36"/>
    <s v="Tidak"/>
    <x v="0"/>
    <s v="Staff"/>
    <n v="4000000"/>
    <n v="1"/>
    <n v="0"/>
    <x v="1"/>
  </r>
  <r>
    <s v="E2601"/>
    <s v="Galar Halim"/>
    <s v="JAKARTA"/>
    <s v="Karyawan Tetap"/>
    <d v="2022-03-21T00:00:00"/>
    <s v="Islam"/>
    <s v="M"/>
    <s v="JAKARTA"/>
    <d v="1994-03-06T00:00:00"/>
    <n v="0.9"/>
    <n v="31"/>
    <s v="Tidak"/>
    <x v="0"/>
    <s v="Staff"/>
    <n v="4000000"/>
    <n v="1"/>
    <n v="0"/>
    <x v="1"/>
  </r>
  <r>
    <s v="N1579"/>
    <s v="Kardi Saptono"/>
    <s v="JAKARTA"/>
    <s v="Kontrak"/>
    <d v="2016-08-15T00:00:00"/>
    <s v="Islam"/>
    <s v="M"/>
    <s v="JAKARTA"/>
    <d v="1990-08-02T00:00:00"/>
    <n v="0.63"/>
    <n v="35"/>
    <s v="Tidak"/>
    <x v="1"/>
    <s v="Staff"/>
    <n v="4000000"/>
    <n v="1"/>
    <n v="0"/>
    <x v="1"/>
  </r>
  <r>
    <s v="N0867"/>
    <s v="Sabar Situmorang"/>
    <s v="JAKARTA"/>
    <s v="Kontrak"/>
    <d v="2002-12-11T00:00:00"/>
    <s v="Islam"/>
    <s v="M"/>
    <s v="PALEMBANG"/>
    <d v="1979-12-28T00:00:00"/>
    <n v="0.7"/>
    <n v="46"/>
    <s v="Tidak"/>
    <x v="0"/>
    <s v="Staff"/>
    <n v="4000000"/>
    <n v="1"/>
    <n v="0"/>
    <x v="1"/>
  </r>
  <r>
    <s v="E2389"/>
    <s v="Dimaz Zulkarnain"/>
    <s v="JAKARTA"/>
    <s v="Karyawan Tetap"/>
    <d v="2020-12-07T00:00:00"/>
    <s v="Islam"/>
    <s v="M"/>
    <s v="JAKARTA"/>
    <d v="1992-06-10T00:00:00"/>
    <n v="0.62"/>
    <n v="33"/>
    <s v="Tidak"/>
    <x v="1"/>
    <s v="Senior Staff"/>
    <n v="5000000"/>
    <n v="1"/>
    <n v="0"/>
    <x v="1"/>
  </r>
  <r>
    <s v="E1175"/>
    <s v="Balapati Prasetya"/>
    <s v="BANDUNG"/>
    <s v="Karyawan Tetap"/>
    <d v="2014-06-02T00:00:00"/>
    <s v="Islam"/>
    <s v="M"/>
    <s v="BANDUNG"/>
    <d v="1975-10-16T00:00:00"/>
    <n v="0.67"/>
    <n v="50"/>
    <s v="Ya"/>
    <x v="1"/>
    <s v="Supervisor"/>
    <n v="7000000"/>
    <n v="1"/>
    <n v="0"/>
    <x v="1"/>
  </r>
  <r>
    <s v="N1378"/>
    <s v="Eja Widodo"/>
    <s v="JAKARTA"/>
    <s v="Kontrak"/>
    <d v="2016-01-11T00:00:00"/>
    <s v="Islam"/>
    <s v="M"/>
    <s v="BANDUNG"/>
    <d v="1993-05-30T00:00:00"/>
    <n v="0.6"/>
    <n v="32"/>
    <s v="Tidak"/>
    <x v="1"/>
    <s v="Staff"/>
    <n v="4000000"/>
    <n v="1"/>
    <n v="0"/>
    <x v="1"/>
  </r>
  <r>
    <s v="E2890"/>
    <s v="Prabu Haryanto"/>
    <s v="JAKARTA"/>
    <s v="Karyawan Tetap"/>
    <d v="2023-02-20T00:00:00"/>
    <s v="Islam"/>
    <s v="M"/>
    <s v="PACITAN"/>
    <d v="1994-12-16T00:00:00"/>
    <n v="0.81"/>
    <n v="31"/>
    <s v="Tidak"/>
    <x v="0"/>
    <s v="Senior Staff"/>
    <n v="5000000"/>
    <n v="1"/>
    <n v="0"/>
    <x v="1"/>
  </r>
  <r>
    <s v="E0967"/>
    <s v="Cayadi Putra"/>
    <s v="SURABAYA"/>
    <s v="Karyawan Tetap"/>
    <d v="2006-10-09T00:00:00"/>
    <s v="Islam"/>
    <s v="M"/>
    <s v="SURABAYA"/>
    <d v="1985-01-13T00:00:00"/>
    <n v="0.6"/>
    <n v="40"/>
    <s v="Tidak"/>
    <x v="1"/>
    <s v="Staff"/>
    <n v="4000000"/>
    <n v="1"/>
    <n v="0"/>
    <x v="1"/>
  </r>
  <r>
    <s v="N1660"/>
    <s v="Gambira Pranowo"/>
    <s v="JAKARTA"/>
    <s v="Kontrak"/>
    <d v="2017-02-01T00:00:00"/>
    <s v="Islam"/>
    <s v="M"/>
    <s v="JAKARTA"/>
    <d v="1986-10-16T00:00:00"/>
    <n v="0.83"/>
    <n v="39"/>
    <s v="Tidak"/>
    <x v="0"/>
    <s v="Staff"/>
    <n v="4000000"/>
    <n v="1"/>
    <n v="0"/>
    <x v="1"/>
  </r>
  <r>
    <s v="E1806"/>
    <s v="Salman Wasita"/>
    <s v="JAKARTA"/>
    <s v="Karyawan Tetap"/>
    <d v="2017-12-18T00:00:00"/>
    <s v="Islam"/>
    <s v="M"/>
    <s v="JAKARTA"/>
    <d v="1990-06-19T00:00:00"/>
    <n v="0.84"/>
    <n v="35"/>
    <s v="Tidak"/>
    <x v="0"/>
    <s v="Junior Manager"/>
    <n v="12000000"/>
    <n v="2"/>
    <n v="0"/>
    <x v="1"/>
  </r>
  <r>
    <s v="E1036"/>
    <s v="Wardaya Dongoran"/>
    <s v="BANDUNG"/>
    <s v="Karyawan Tetap"/>
    <d v="2008-07-28T00:00:00"/>
    <s v="Islam"/>
    <s v="M"/>
    <s v="JAKARTA"/>
    <d v="1984-11-30T00:00:00"/>
    <n v="0.66"/>
    <n v="41"/>
    <s v="Tidak"/>
    <x v="1"/>
    <s v="Junior Manager"/>
    <n v="12000000"/>
    <n v="2"/>
    <n v="0"/>
    <x v="1"/>
  </r>
  <r>
    <s v="N2183"/>
    <s v="Kania Permata"/>
    <s v="JAKARTA"/>
    <s v="Kontrak"/>
    <d v="2020-01-13T00:00:00"/>
    <s v="Islam"/>
    <s v="F"/>
    <s v="TEGAL"/>
    <d v="1998-05-29T00:00:00"/>
    <n v="0.77"/>
    <n v="27"/>
    <s v="Tidak"/>
    <x v="0"/>
    <s v="Supervisor"/>
    <n v="7000000"/>
    <n v="1"/>
    <n v="0"/>
    <x v="0"/>
  </r>
  <r>
    <s v="N1723"/>
    <s v="Eva Yolanda"/>
    <s v="BANDUNG"/>
    <s v="Kontrak"/>
    <d v="2017-07-11T00:00:00"/>
    <s v="Islam"/>
    <s v="F"/>
    <s v="CIMAHI"/>
    <d v="1985-02-11T00:00:00"/>
    <n v="0.79"/>
    <n v="40"/>
    <s v="Tidak"/>
    <x v="0"/>
    <s v="Supervisor"/>
    <n v="7000000"/>
    <n v="1"/>
    <n v="0"/>
    <x v="0"/>
  </r>
  <r>
    <s v="N1583"/>
    <s v="Amalia Yuniar"/>
    <s v="JAKARTA"/>
    <s v="Kontrak"/>
    <d v="2016-08-26T00:00:00"/>
    <s v="Islam"/>
    <s v="F"/>
    <s v="JAKARTA"/>
    <d v="1993-01-15T00:00:00"/>
    <n v="0.64"/>
    <n v="32"/>
    <s v="Tidak"/>
    <x v="1"/>
    <s v="General Manager"/>
    <n v="25000000"/>
    <n v="2"/>
    <n v="0"/>
    <x v="0"/>
  </r>
  <r>
    <s v="E1512"/>
    <s v="Ade Rahayu"/>
    <s v="JAKARTA"/>
    <s v="Karyawan Tetap"/>
    <d v="2016-04-15T00:00:00"/>
    <s v="Islam"/>
    <s v="F"/>
    <s v="MAKASAR"/>
    <d v="1990-03-28T00:00:00"/>
    <n v="0.85"/>
    <n v="35"/>
    <s v="Tidak"/>
    <x v="0"/>
    <s v="Senior Manager"/>
    <n v="18000000"/>
    <n v="2"/>
    <n v="0"/>
    <x v="0"/>
  </r>
  <r>
    <s v="E2536"/>
    <s v="Zizi Usada"/>
    <s v="JAKARTA"/>
    <s v="Karyawan Tetap"/>
    <d v="2021-11-01T00:00:00"/>
    <s v="Katolik"/>
    <s v="F"/>
    <s v="BEKASI"/>
    <d v="1994-11-08T00:00:00"/>
    <n v="0.87"/>
    <n v="31"/>
    <s v="Tidak"/>
    <x v="0"/>
    <s v="Senior Manager"/>
    <n v="18000000"/>
    <n v="2"/>
    <n v="0"/>
    <x v="0"/>
  </r>
  <r>
    <s v="E1062"/>
    <s v="Gaduh Pratama"/>
    <s v="JAKARTA"/>
    <s v="Karyawan Tetap"/>
    <d v="2010-07-12T00:00:00"/>
    <s v="Islam"/>
    <s v="M"/>
    <s v="PADANG"/>
    <d v="1982-04-23T00:00:00"/>
    <n v="0.88"/>
    <n v="43"/>
    <s v="Tidak"/>
    <x v="0"/>
    <s v="Senior Manager"/>
    <n v="18000000"/>
    <n v="2"/>
    <n v="0"/>
    <x v="1"/>
  </r>
  <r>
    <s v="E1162"/>
    <s v="Laras Nuraini"/>
    <s v="JAKARTA"/>
    <s v="Karyawan Tetap"/>
    <d v="2014-04-21T00:00:00"/>
    <s v="Islam"/>
    <s v="F"/>
    <s v="JAKARTA"/>
    <d v="1992-03-10T00:00:00"/>
    <n v="0.8"/>
    <n v="33"/>
    <s v="Tidak"/>
    <x v="0"/>
    <s v="Senior Manager"/>
    <n v="18000000"/>
    <n v="2"/>
    <n v="0"/>
    <x v="0"/>
  </r>
  <r>
    <s v="E1182"/>
    <s v="Cinthia Gunawan"/>
    <s v="JAKARTA"/>
    <s v="Karyawan Tetap"/>
    <d v="2015-09-01T00:00:00"/>
    <s v="Katolik"/>
    <s v="F"/>
    <s v="TEBING TINGGI"/>
    <d v="1973-11-26T00:00:00"/>
    <n v="0.84"/>
    <n v="52"/>
    <s v="Ya"/>
    <x v="0"/>
    <s v="Supervisor"/>
    <n v="7000000"/>
    <n v="1"/>
    <n v="0"/>
    <x v="0"/>
  </r>
  <r>
    <s v="E1922"/>
    <s v="Bagiya Sihombing"/>
    <s v="JAKARTA"/>
    <s v="Karyawan Tetap"/>
    <d v="2018-08-20T00:00:00"/>
    <s v="Islam"/>
    <s v="F"/>
    <s v="JAKARTA"/>
    <d v="1994-12-02T00:00:00"/>
    <n v="0.97"/>
    <n v="31"/>
    <s v="Tidak"/>
    <x v="0"/>
    <s v="Supervisor"/>
    <n v="7000000"/>
    <n v="1"/>
    <n v="7000000"/>
    <x v="0"/>
  </r>
  <r>
    <s v="E1735"/>
    <s v="Violet Mentari"/>
    <s v="SURABAYA"/>
    <s v="Karyawan Tetap"/>
    <d v="2017-08-14T00:00:00"/>
    <s v="Islam"/>
    <s v="F"/>
    <s v="BANYUWANGI"/>
    <d v="1990-09-07T00:00:00"/>
    <n v="0.78"/>
    <n v="35"/>
    <s v="Tidak"/>
    <x v="0"/>
    <s v="Supervisor"/>
    <n v="7000000"/>
    <n v="1"/>
    <n v="0"/>
    <x v="0"/>
  </r>
  <r>
    <s v="N2168"/>
    <s v="Paiman Firgantoro"/>
    <s v="JAKARTA"/>
    <s v="Kontrak"/>
    <d v="2019-12-09T00:00:00"/>
    <s v="Islam"/>
    <s v="M"/>
    <s v="JAKARTA"/>
    <d v="1988-12-09T00:00:00"/>
    <n v="0.87"/>
    <n v="37"/>
    <s v="Tidak"/>
    <x v="0"/>
    <s v="General Manager"/>
    <n v="25000000"/>
    <n v="2"/>
    <n v="0"/>
    <x v="1"/>
  </r>
  <r>
    <s v="E1016"/>
    <s v="Ophelia Mustofa"/>
    <s v="MEDAN"/>
    <s v="Karyawan Tetap"/>
    <d v="2008-01-02T00:00:00"/>
    <s v="Islam"/>
    <s v="M"/>
    <s v="MEDAN"/>
    <d v="1982-10-28T00:00:00"/>
    <n v="0.79"/>
    <n v="43"/>
    <s v="Tidak"/>
    <x v="0"/>
    <s v="Senior Staff"/>
    <n v="5000000"/>
    <n v="1"/>
    <n v="0"/>
    <x v="1"/>
  </r>
  <r>
    <s v="E2527"/>
    <s v="Darmanto Laksita"/>
    <s v="SURABAYA"/>
    <s v="Karyawan Tetap"/>
    <d v="2021-09-20T00:00:00"/>
    <s v="Islam"/>
    <s v="F"/>
    <s v="SURABAYA"/>
    <d v="1993-10-01T00:00:00"/>
    <n v="0.6"/>
    <n v="32"/>
    <s v="Tidak"/>
    <x v="1"/>
    <s v="Supervisor"/>
    <n v="7000000"/>
    <n v="1"/>
    <n v="0"/>
    <x v="0"/>
  </r>
  <r>
    <s v="E1900"/>
    <s v="Kenari Rajasa"/>
    <s v="JAKARTA"/>
    <s v="Karyawan Tetap"/>
    <d v="2018-08-01T00:00:00"/>
    <s v="Islam"/>
    <s v="F"/>
    <s v="PEKALONGAN"/>
    <d v="1987-01-22T00:00:00"/>
    <n v="0.74"/>
    <n v="38"/>
    <s v="Tidak"/>
    <x v="0"/>
    <s v="Senior Staff"/>
    <n v="5000000"/>
    <n v="1"/>
    <n v="0"/>
    <x v="0"/>
  </r>
  <r>
    <s v="E1909"/>
    <s v="Puti Nadine Prakasa"/>
    <s v="JAKARTA"/>
    <s v="Karyawan Tetap"/>
    <d v="2018-08-01T00:00:00"/>
    <s v="Islam"/>
    <s v="F"/>
    <s v="PEKALONGAN"/>
    <d v="1987-01-22T00:00:00"/>
    <n v="0.88"/>
    <n v="38"/>
    <s v="Tidak"/>
    <x v="0"/>
    <s v="Staff"/>
    <n v="4000000"/>
    <n v="1"/>
    <n v="0"/>
    <x v="0"/>
  </r>
  <r>
    <s v="N2857"/>
    <s v="Clara Prasetyo"/>
    <s v="JAKARTA"/>
    <s v="Kontrak"/>
    <d v="2022-12-21T00:00:00"/>
    <s v="Islam"/>
    <s v="F"/>
    <s v="BOGOR"/>
    <d v="2000-06-16T00:00:00"/>
    <n v="0.66"/>
    <n v="25"/>
    <s v="Tidak"/>
    <x v="1"/>
    <s v="Senior Staff"/>
    <n v="5000000"/>
    <n v="1"/>
    <n v="0"/>
    <x v="0"/>
  </r>
  <r>
    <s v="N2139"/>
    <s v="Nabila Prakasa"/>
    <s v="JAKARTA"/>
    <s v="Kontrak"/>
    <d v="2019-10-21T00:00:00"/>
    <s v="Islam"/>
    <s v="F"/>
    <s v="JAKARTA"/>
    <d v="1996-07-19T00:00:00"/>
    <n v="0.87"/>
    <n v="29"/>
    <s v="Tidak"/>
    <x v="0"/>
    <s v="Senior Staff"/>
    <n v="5000000"/>
    <n v="1"/>
    <n v="0"/>
    <x v="0"/>
  </r>
  <r>
    <s v="N1568"/>
    <s v="Sutan Tirtayasa Wasita"/>
    <s v="JAKARTA"/>
    <s v="Kontrak"/>
    <d v="2016-08-01T00:00:00"/>
    <s v="Islam"/>
    <s v="F"/>
    <s v="JAKARTA"/>
    <d v="1994-12-07T00:00:00"/>
    <n v="0.82"/>
    <n v="31"/>
    <s v="Tidak"/>
    <x v="0"/>
    <s v="Staff"/>
    <n v="4000000"/>
    <n v="1"/>
    <n v="0"/>
    <x v="0"/>
  </r>
  <r>
    <s v="N1713"/>
    <s v="Sari Winarno"/>
    <s v="JAKARTA"/>
    <s v="Kontrak"/>
    <d v="2017-07-10T00:00:00"/>
    <s v="Islam"/>
    <s v="F"/>
    <s v="JAKARTA"/>
    <d v="1986-02-24T00:00:00"/>
    <n v="0.61"/>
    <n v="39"/>
    <s v="Tidak"/>
    <x v="1"/>
    <s v="Staff"/>
    <n v="4000000"/>
    <n v="1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s v="N1707"/>
    <s v="Dewi Kartini"/>
    <s v="JAKARTA"/>
    <s v="Kontrak"/>
    <d v="2017-07-04T00:00:00"/>
    <s v="Kristen"/>
    <s v="F"/>
    <s v="JAKARTA PUSAT"/>
    <d v="1987-11-08T00:00:00"/>
    <n v="0.99"/>
    <n v="38"/>
    <x v="0"/>
    <s v="Good"/>
    <x v="0"/>
    <n v="5000000"/>
    <n v="1"/>
    <n v="5000000"/>
    <x v="0"/>
    <x v="0"/>
  </r>
  <r>
    <s v="N2498"/>
    <s v="Siti Rahayu"/>
    <s v="JAKARTA"/>
    <s v="Kontrak"/>
    <d v="2021-08-09T00:00:00"/>
    <s v="Islam"/>
    <s v="F"/>
    <s v="BANDUNG"/>
    <d v="1992-04-18T00:00:00"/>
    <n v="0.77"/>
    <n v="33"/>
    <x v="0"/>
    <s v="Good"/>
    <x v="0"/>
    <n v="5000000"/>
    <n v="1"/>
    <n v="0"/>
    <x v="0"/>
    <x v="1"/>
  </r>
  <r>
    <s v="E2513"/>
    <s v="Lina Puspitasari"/>
    <s v="JAKARTA"/>
    <s v="Karyawan Tetap"/>
    <d v="2021-08-16T00:00:00"/>
    <s v="Islam"/>
    <s v="F"/>
    <s v="BOGOR"/>
    <d v="1995-03-10T00:00:00"/>
    <n v="0.7"/>
    <n v="30"/>
    <x v="0"/>
    <s v="Good"/>
    <x v="1"/>
    <n v="7000000"/>
    <n v="1"/>
    <n v="0"/>
    <x v="0"/>
    <x v="1"/>
  </r>
  <r>
    <s v="N1674"/>
    <s v="Ratna Kusuma"/>
    <s v="JAKARTA"/>
    <s v="Kontrak"/>
    <d v="2017-03-06T00:00:00"/>
    <s v="Islam"/>
    <s v="F"/>
    <s v="JAKARTA"/>
    <d v="1991-11-27T00:00:00"/>
    <n v="0.6"/>
    <n v="34"/>
    <x v="0"/>
    <s v="Poor"/>
    <x v="2"/>
    <n v="4000000"/>
    <n v="1"/>
    <n v="0"/>
    <x v="0"/>
    <x v="0"/>
  </r>
  <r>
    <s v="E2640"/>
    <s v="Chicco Jerikho"/>
    <s v="JAKARTA"/>
    <s v="Karyawan Tetap"/>
    <d v="2022-06-06T00:00:00"/>
    <s v="Kristen"/>
    <s v="M"/>
    <s v="LAMPUNG"/>
    <d v="1996-05-11T00:00:00"/>
    <n v="0.7"/>
    <n v="29"/>
    <x v="0"/>
    <s v="Good"/>
    <x v="3"/>
    <n v="25000000"/>
    <n v="2"/>
    <n v="0"/>
    <x v="1"/>
    <x v="2"/>
  </r>
  <r>
    <s v="N2016"/>
    <s v="Arifin Sutedjo"/>
    <s v="JAKARTA"/>
    <s v="Kontrak"/>
    <d v="2019-01-14T00:00:00"/>
    <s v="Islam"/>
    <s v="M"/>
    <s v="JAKARTA"/>
    <d v="1993-12-04T00:00:00"/>
    <n v="0.67"/>
    <n v="32"/>
    <x v="0"/>
    <s v="Poor"/>
    <x v="2"/>
    <n v="4000000"/>
    <n v="1"/>
    <n v="0"/>
    <x v="1"/>
    <x v="3"/>
  </r>
  <r>
    <s v="E2054"/>
    <s v="Agus Suharto"/>
    <s v="JAKARTA"/>
    <s v="Karyawan Tetap"/>
    <d v="2019-04-22T00:00:00"/>
    <s v="Islam"/>
    <s v="M"/>
    <s v="PURBALINGGA"/>
    <d v="1994-09-23T00:00:00"/>
    <n v="0.63"/>
    <n v="31"/>
    <x v="0"/>
    <s v="Poor"/>
    <x v="4"/>
    <n v="18000000"/>
    <n v="2"/>
    <n v="0"/>
    <x v="1"/>
    <x v="3"/>
  </r>
  <r>
    <s v="E1881"/>
    <s v="Lita Damayanti"/>
    <s v="JAKARTA"/>
    <s v="Karyawan Tetap"/>
    <d v="2018-06-25T00:00:00"/>
    <s v="Islam"/>
    <s v="F"/>
    <s v="TANGERANG"/>
    <d v="1993-12-14T00:00:00"/>
    <n v="0.79"/>
    <n v="32"/>
    <x v="0"/>
    <s v="Good"/>
    <x v="2"/>
    <n v="4000000"/>
    <n v="1"/>
    <n v="0"/>
    <x v="0"/>
    <x v="4"/>
  </r>
  <r>
    <s v="E2161"/>
    <s v="Eko Pramono"/>
    <s v="JAKARTA"/>
    <s v="Karyawan Tetap"/>
    <d v="2019-12-02T00:00:00"/>
    <s v="Islam"/>
    <s v="M"/>
    <s v="JAKARTA"/>
    <d v="1994-04-04T00:00:00"/>
    <n v="0.94"/>
    <n v="31"/>
    <x v="0"/>
    <s v="Good"/>
    <x v="4"/>
    <n v="18000000"/>
    <n v="2"/>
    <n v="36000000"/>
    <x v="1"/>
    <x v="3"/>
  </r>
  <r>
    <s v="N2031"/>
    <s v="Lina Handayani"/>
    <s v="JAKARTA"/>
    <s v="Kontrak"/>
    <d v="2019-03-04T00:00:00"/>
    <s v="Islam"/>
    <s v="F"/>
    <s v="BANDUNG"/>
    <d v="1990-11-12T00:00:00"/>
    <n v="0.62"/>
    <n v="35"/>
    <x v="0"/>
    <s v="Poor"/>
    <x v="2"/>
    <n v="4000000"/>
    <n v="1"/>
    <n v="0"/>
    <x v="0"/>
    <x v="3"/>
  </r>
  <r>
    <s v="N1173"/>
    <s v="Chicco Kurniawan"/>
    <s v="JAKARTA"/>
    <s v="Kontrak"/>
    <d v="2014-06-02T00:00:00"/>
    <s v="Islam"/>
    <s v="M"/>
    <s v="JAKARTA"/>
    <d v="1990-03-18T00:00:00"/>
    <n v="0.69"/>
    <n v="35"/>
    <x v="0"/>
    <s v="Poor"/>
    <x v="2"/>
    <n v="4000000"/>
    <n v="1"/>
    <n v="0"/>
    <x v="1"/>
    <x v="5"/>
  </r>
  <r>
    <s v="E1005"/>
    <s v="Yanto Setiawan"/>
    <s v="JAKARTA"/>
    <s v="Karyawan Tetap"/>
    <d v="2007-08-01T00:00:00"/>
    <s v="Islam"/>
    <s v="M"/>
    <s v="TASIKMALAYA"/>
    <d v="1979-03-02T00:00:00"/>
    <n v="0.84"/>
    <n v="46"/>
    <x v="0"/>
    <s v="Good"/>
    <x v="0"/>
    <n v="5000000"/>
    <n v="1"/>
    <n v="0"/>
    <x v="1"/>
    <x v="6"/>
  </r>
  <r>
    <s v="E1063"/>
    <s v="Joko Nugroho"/>
    <s v="JAKARTA"/>
    <s v="Karyawan Tetap"/>
    <d v="2010-10-01T00:00:00"/>
    <s v="Islam"/>
    <s v="M"/>
    <s v="JAKARTA"/>
    <d v="1985-09-01T00:00:00"/>
    <n v="0.7"/>
    <n v="40"/>
    <x v="0"/>
    <s v="Good"/>
    <x v="1"/>
    <n v="7000000"/>
    <n v="1"/>
    <n v="0"/>
    <x v="1"/>
    <x v="7"/>
  </r>
  <r>
    <s v="E1974"/>
    <s v="Arianto Wibowo"/>
    <s v="MEDAN"/>
    <s v="Karyawan Tetap"/>
    <d v="2018-11-01T00:00:00"/>
    <s v="Islam"/>
    <s v="M"/>
    <s v="JAKARTA"/>
    <d v="1989-02-04T00:00:00"/>
    <n v="0.84"/>
    <n v="36"/>
    <x v="0"/>
    <s v="Good"/>
    <x v="0"/>
    <n v="5000000"/>
    <n v="1"/>
    <n v="0"/>
    <x v="1"/>
    <x v="4"/>
  </r>
  <r>
    <s v="E0828"/>
    <s v="Erwin Gutawa"/>
    <s v="JAKARTA"/>
    <s v="Karyawan Tetap"/>
    <d v="2000-08-01T00:00:00"/>
    <s v="Islam"/>
    <s v="M"/>
    <s v="BATANG"/>
    <d v="1975-03-10T00:00:00"/>
    <n v="0.89"/>
    <n v="50"/>
    <x v="1"/>
    <s v="Good"/>
    <x v="3"/>
    <n v="25000000"/>
    <n v="2"/>
    <n v="0"/>
    <x v="1"/>
    <x v="8"/>
  </r>
  <r>
    <s v="E1054"/>
    <s v="Aliando Syarief"/>
    <s v="JAKARTA"/>
    <s v="Karyawan Tetap"/>
    <d v="2009-11-09T00:00:00"/>
    <s v="Islam"/>
    <s v="M"/>
    <s v="TANGERANG"/>
    <d v="1984-12-26T00:00:00"/>
    <n v="1"/>
    <n v="41"/>
    <x v="0"/>
    <s v="Good"/>
    <x v="4"/>
    <n v="18000000"/>
    <n v="2"/>
    <n v="36000000"/>
    <x v="1"/>
    <x v="9"/>
  </r>
  <r>
    <s v="E1703"/>
    <s v="Tuti Rahmawati"/>
    <s v="JAKARTA"/>
    <s v="Karyawan Tetap"/>
    <d v="2017-06-14T00:00:00"/>
    <s v="Islam"/>
    <s v="F"/>
    <s v="KARANGANYAR"/>
    <d v="1984-07-23T00:00:00"/>
    <n v="0.85"/>
    <n v="41"/>
    <x v="0"/>
    <s v="Good"/>
    <x v="3"/>
    <n v="25000000"/>
    <n v="2"/>
    <n v="0"/>
    <x v="0"/>
    <x v="0"/>
  </r>
  <r>
    <s v="E2840"/>
    <s v="Eko Sutomo"/>
    <s v="JAKARTA"/>
    <s v="Karyawan Tetap"/>
    <d v="2022-12-05T00:00:00"/>
    <s v="Kristen"/>
    <s v="M"/>
    <s v="TOMOHON"/>
    <d v="1986-06-04T00:00:00"/>
    <n v="0.68"/>
    <n v="39"/>
    <x v="0"/>
    <s v="Poor"/>
    <x v="4"/>
    <n v="18000000"/>
    <n v="2"/>
    <n v="0"/>
    <x v="1"/>
    <x v="2"/>
  </r>
  <r>
    <s v="E1861"/>
    <s v="Rina Kurniati"/>
    <s v="JAKARTA"/>
    <s v="Karyawan Tetap"/>
    <d v="2018-04-16T00:00:00"/>
    <s v="Islam"/>
    <s v="F"/>
    <s v="JAKARTA"/>
    <d v="1994-03-01T00:00:00"/>
    <n v="0.64"/>
    <n v="31"/>
    <x v="0"/>
    <s v="Poor"/>
    <x v="5"/>
    <n v="12000000"/>
    <n v="2"/>
    <n v="0"/>
    <x v="0"/>
    <x v="4"/>
  </r>
  <r>
    <s v="N1860"/>
    <s v="Arif Setiawan"/>
    <s v="JAKARTA"/>
    <s v="Kontrak"/>
    <d v="2018-04-16T00:00:00"/>
    <s v="Islam"/>
    <s v="M"/>
    <s v="JAKARTA"/>
    <d v="1994-03-01T00:00:00"/>
    <n v="0.81"/>
    <n v="31"/>
    <x v="0"/>
    <s v="Good"/>
    <x v="1"/>
    <n v="7000000"/>
    <n v="1"/>
    <n v="0"/>
    <x v="1"/>
    <x v="4"/>
  </r>
  <r>
    <s v="N0951"/>
    <s v="Choky Sitohang"/>
    <s v="JAKARTA"/>
    <s v="Kontrak"/>
    <d v="2006-07-24T00:00:00"/>
    <s v="Islam"/>
    <s v="M"/>
    <s v="BLITAR"/>
    <d v="1983-02-17T00:00:00"/>
    <n v="0.73"/>
    <n v="42"/>
    <x v="0"/>
    <s v="Good"/>
    <x v="1"/>
    <n v="7000000"/>
    <n v="1"/>
    <n v="0"/>
    <x v="1"/>
    <x v="10"/>
  </r>
  <r>
    <s v="E2575"/>
    <s v="Retno Cahyani"/>
    <s v="JAKARTA"/>
    <s v="Karyawan Tetap"/>
    <d v="2022-01-10T00:00:00"/>
    <s v="Islam"/>
    <s v="F"/>
    <s v="PALEMBANG"/>
    <d v="1996-10-17T00:00:00"/>
    <n v="0.93"/>
    <n v="29"/>
    <x v="0"/>
    <s v="Good"/>
    <x v="0"/>
    <n v="5000000"/>
    <n v="1"/>
    <n v="5000000"/>
    <x v="0"/>
    <x v="2"/>
  </r>
  <r>
    <s v="N2619"/>
    <s v="Benyamin Sueb"/>
    <s v="JAKARTA"/>
    <s v="Kontrak"/>
    <d v="2022-05-10T00:00:00"/>
    <s v="Kristen"/>
    <s v="M"/>
    <s v="JAKARTA"/>
    <d v="1985-01-19T00:00:00"/>
    <n v="0.71"/>
    <n v="40"/>
    <x v="0"/>
    <s v="Good"/>
    <x v="3"/>
    <n v="25000000"/>
    <n v="2"/>
    <n v="0"/>
    <x v="1"/>
    <x v="2"/>
  </r>
  <r>
    <s v="E2321"/>
    <s v="Rudi Haryanto"/>
    <s v="MEDAN"/>
    <s v="Karyawan Tetap"/>
    <d v="2020-07-01T00:00:00"/>
    <s v="Islam"/>
    <s v="M"/>
    <s v="JAKARTA"/>
    <d v="1987-03-13T00:00:00"/>
    <n v="0.86"/>
    <n v="38"/>
    <x v="0"/>
    <s v="Good"/>
    <x v="3"/>
    <n v="25000000"/>
    <n v="2"/>
    <n v="0"/>
    <x v="1"/>
    <x v="11"/>
  </r>
  <r>
    <s v="E2620"/>
    <s v="Alvaro Maldini"/>
    <s v="JAKARTA"/>
    <s v="Karyawan Tetap"/>
    <d v="2022-05-09T00:00:00"/>
    <s v="Islam"/>
    <s v="M"/>
    <s v="KUNINGAN"/>
    <d v="1996-01-16T00:00:00"/>
    <n v="0.89"/>
    <n v="29"/>
    <x v="0"/>
    <s v="Good"/>
    <x v="0"/>
    <n v="5000000"/>
    <n v="1"/>
    <n v="0"/>
    <x v="1"/>
    <x v="2"/>
  </r>
  <r>
    <s v="E1690"/>
    <s v="Wati Sulistiani"/>
    <s v="JAKARTA"/>
    <s v="Karyawan Tetap"/>
    <d v="2017-05-15T00:00:00"/>
    <s v="Islam"/>
    <s v="F"/>
    <s v="JAKARTA"/>
    <d v="1993-03-24T00:00:00"/>
    <n v="0.98"/>
    <n v="32"/>
    <x v="0"/>
    <s v="Good"/>
    <x v="1"/>
    <n v="7000000"/>
    <n v="1"/>
    <n v="7000000"/>
    <x v="0"/>
    <x v="0"/>
  </r>
  <r>
    <s v="E1064"/>
    <s v="Budi Santoso"/>
    <s v="JAKARTA"/>
    <s v="Karyawan Tetap"/>
    <d v="2010-10-01T00:00:00"/>
    <s v="Islam"/>
    <s v="M"/>
    <s v="INDRAMAYU"/>
    <d v="1984-12-03T00:00:00"/>
    <n v="0.97"/>
    <n v="41"/>
    <x v="0"/>
    <s v="Good"/>
    <x v="4"/>
    <n v="18000000"/>
    <n v="2"/>
    <n v="36000000"/>
    <x v="1"/>
    <x v="7"/>
  </r>
  <r>
    <s v="E1065"/>
    <s v="Indah Wulandari"/>
    <s v="JAKARTA"/>
    <s v="Karyawan Tetap"/>
    <d v="2010-10-01T00:00:00"/>
    <s v="Islam"/>
    <s v="F"/>
    <s v="MEDAN"/>
    <d v="1979-06-02T00:00:00"/>
    <n v="0.87"/>
    <n v="46"/>
    <x v="0"/>
    <s v="Good"/>
    <x v="1"/>
    <n v="7000000"/>
    <n v="1"/>
    <n v="0"/>
    <x v="0"/>
    <x v="7"/>
  </r>
  <r>
    <s v="E1841"/>
    <s v="Dodit Mulyanto"/>
    <s v="JAKARTA"/>
    <s v="Karyawan Tetap"/>
    <d v="2018-03-05T00:00:00"/>
    <s v="Islam"/>
    <s v="M"/>
    <s v="JAKARTA"/>
    <d v="1986-11-12T00:00:00"/>
    <n v="0.96"/>
    <n v="39"/>
    <x v="0"/>
    <s v="Good"/>
    <x v="0"/>
    <n v="5000000"/>
    <n v="1"/>
    <n v="5000000"/>
    <x v="1"/>
    <x v="4"/>
  </r>
  <r>
    <s v="E2867"/>
    <s v="Putri Sari"/>
    <s v="JAKARTA"/>
    <s v="Karyawan Tetap"/>
    <d v="2023-01-02T00:00:00"/>
    <s v="Islam"/>
    <s v="F"/>
    <s v="TASIKMALAYA"/>
    <d v="1996-08-24T00:00:00"/>
    <n v="0.85"/>
    <n v="29"/>
    <x v="0"/>
    <s v="Good"/>
    <x v="0"/>
    <n v="5000000"/>
    <n v="1"/>
    <n v="0"/>
    <x v="0"/>
    <x v="12"/>
  </r>
  <r>
    <s v="N1720"/>
    <s v="Al Ghazali"/>
    <s v="JAKARTA"/>
    <s v="Kontrak"/>
    <d v="2017-07-17T00:00:00"/>
    <s v="Islam"/>
    <s v="M"/>
    <s v="TRENGGALEK"/>
    <d v="1988-08-15T00:00:00"/>
    <n v="0.74"/>
    <n v="37"/>
    <x v="0"/>
    <s v="Good"/>
    <x v="3"/>
    <n v="25000000"/>
    <n v="2"/>
    <n v="0"/>
    <x v="1"/>
    <x v="0"/>
  </r>
  <r>
    <s v="E1880"/>
    <s v="Retno Sulistyowati"/>
    <s v="JAKARTA"/>
    <s v="Karyawan Tetap"/>
    <d v="2018-06-21T00:00:00"/>
    <s v="Islam"/>
    <s v="F"/>
    <s v="BANDUNG"/>
    <d v="1989-02-05T00:00:00"/>
    <n v="0.77"/>
    <n v="36"/>
    <x v="0"/>
    <s v="Good"/>
    <x v="4"/>
    <n v="18000000"/>
    <n v="2"/>
    <n v="0"/>
    <x v="0"/>
    <x v="4"/>
  </r>
  <r>
    <s v="E1929"/>
    <s v="Alvin Adam"/>
    <s v="JAKARTA"/>
    <s v="Karyawan Tetap"/>
    <d v="2018-09-03T00:00:00"/>
    <s v="Islam"/>
    <s v="M"/>
    <s v="GROBOGAN"/>
    <d v="1995-02-10T00:00:00"/>
    <n v="0.62"/>
    <n v="30"/>
    <x v="0"/>
    <s v="Poor"/>
    <x v="2"/>
    <n v="4000000"/>
    <n v="1"/>
    <n v="0"/>
    <x v="1"/>
    <x v="4"/>
  </r>
  <r>
    <s v="E0911"/>
    <s v="Nita Permata"/>
    <s v="BANDUNG"/>
    <s v="Karyawan Tetap"/>
    <d v="2005-07-01T00:00:00"/>
    <s v="Islam"/>
    <s v="M"/>
    <s v="SIDOARJO"/>
    <d v="1980-09-05T00:00:00"/>
    <n v="0.91"/>
    <n v="45"/>
    <x v="0"/>
    <s v="Good"/>
    <x v="1"/>
    <n v="7000000"/>
    <n v="1"/>
    <n v="7000000"/>
    <x v="1"/>
    <x v="13"/>
  </r>
  <r>
    <s v="E2170"/>
    <s v="Bertrand Antolin"/>
    <s v="JAKARTA"/>
    <s v="Karyawan Tetap"/>
    <d v="2019-12-09T00:00:00"/>
    <s v="Islam"/>
    <s v="M"/>
    <s v="JAKARTA"/>
    <d v="1996-03-30T00:00:00"/>
    <n v="0.61"/>
    <n v="29"/>
    <x v="0"/>
    <s v="Poor"/>
    <x v="1"/>
    <n v="7000000"/>
    <n v="1"/>
    <n v="0"/>
    <x v="1"/>
    <x v="3"/>
  </r>
  <r>
    <s v="E1111"/>
    <s v="Wulan Puspita"/>
    <s v="JAKARTA"/>
    <s v="Karyawan Tetap"/>
    <d v="2012-09-17T00:00:00"/>
    <s v="Islam"/>
    <s v="F"/>
    <s v="BANDUNG"/>
    <d v="1985-10-14T00:00:00"/>
    <n v="0.84"/>
    <n v="40"/>
    <x v="0"/>
    <s v="Good"/>
    <x v="5"/>
    <n v="12000000"/>
    <n v="2"/>
    <n v="0"/>
    <x v="0"/>
    <x v="14"/>
  </r>
  <r>
    <s v="E1081"/>
    <s v="Maya Wati"/>
    <s v="JAKARTA"/>
    <s v="Karyawan Tetap"/>
    <d v="2012-01-02T00:00:00"/>
    <s v="Islam"/>
    <s v="F"/>
    <s v="TAMAN SARI"/>
    <d v="1989-04-20T00:00:00"/>
    <n v="0.76"/>
    <n v="36"/>
    <x v="0"/>
    <s v="Good"/>
    <x v="1"/>
    <n v="7000000"/>
    <n v="1"/>
    <n v="0"/>
    <x v="0"/>
    <x v="14"/>
  </r>
  <r>
    <s v="E2134"/>
    <s v="Aaron Ashab"/>
    <s v="JAKARTA"/>
    <s v="Karyawan Tetap"/>
    <d v="2019-10-10T00:00:00"/>
    <s v="Islam"/>
    <s v="M"/>
    <s v="PADANG"/>
    <d v="1990-07-07T00:00:00"/>
    <n v="0.89"/>
    <n v="35"/>
    <x v="0"/>
    <s v="Good"/>
    <x v="2"/>
    <n v="4000000"/>
    <n v="1"/>
    <n v="0"/>
    <x v="1"/>
    <x v="3"/>
  </r>
  <r>
    <s v="N2584"/>
    <s v="Surya Permana"/>
    <s v="MALANG"/>
    <s v="Kontrak"/>
    <d v="2022-02-02T00:00:00"/>
    <s v="Islam"/>
    <s v="M"/>
    <s v="MALANG"/>
    <d v="1991-07-07T00:00:00"/>
    <n v="0.73"/>
    <n v="34"/>
    <x v="0"/>
    <s v="Good"/>
    <x v="1"/>
    <n v="7000000"/>
    <n v="1"/>
    <n v="0"/>
    <x v="1"/>
    <x v="2"/>
  </r>
  <r>
    <s v="N2583"/>
    <s v="Retno Purnomo"/>
    <s v="MALANG"/>
    <s v="Kontrak"/>
    <d v="2022-02-02T00:00:00"/>
    <s v="Islam"/>
    <s v="F"/>
    <s v="MALANG"/>
    <d v="1991-07-07T00:00:00"/>
    <n v="0.8"/>
    <n v="34"/>
    <x v="0"/>
    <s v="Good"/>
    <x v="1"/>
    <n v="7000000"/>
    <n v="1"/>
    <n v="0"/>
    <x v="0"/>
    <x v="2"/>
  </r>
  <r>
    <s v="N1453"/>
    <s v="Joko Susanto"/>
    <s v="JAKARTA"/>
    <s v="Kontrak"/>
    <d v="2016-02-01T00:00:00"/>
    <s v="Islam"/>
    <s v="M"/>
    <s v="BANYUWANGI"/>
    <d v="1980-02-25T00:00:00"/>
    <n v="0.73"/>
    <n v="45"/>
    <x v="0"/>
    <s v="Good"/>
    <x v="6"/>
    <n v="40000000"/>
    <n v="2"/>
    <n v="0"/>
    <x v="1"/>
    <x v="15"/>
  </r>
  <r>
    <s v="E1491"/>
    <s v="Donny Alamsyah"/>
    <s v="JAKARTA"/>
    <s v="Karyawan Tetap"/>
    <d v="2016-02-10T00:00:00"/>
    <s v="Islam"/>
    <s v="M"/>
    <s v="JAKARTA"/>
    <d v="1989-03-16T00:00:00"/>
    <n v="0.84"/>
    <n v="36"/>
    <x v="0"/>
    <s v="Good"/>
    <x v="2"/>
    <n v="4000000"/>
    <n v="1"/>
    <n v="0"/>
    <x v="1"/>
    <x v="15"/>
  </r>
  <r>
    <s v="E1490"/>
    <s v="Nia Fitriani"/>
    <s v="JAKARTA"/>
    <s v="Karyawan Tetap"/>
    <d v="2016-02-10T00:00:00"/>
    <s v="Islam"/>
    <s v="F"/>
    <s v="JAKARTA"/>
    <d v="1989-03-16T00:00:00"/>
    <n v="1"/>
    <n v="36"/>
    <x v="0"/>
    <s v="Good"/>
    <x v="0"/>
    <n v="5000000"/>
    <n v="1"/>
    <n v="5000000"/>
    <x v="0"/>
    <x v="15"/>
  </r>
  <r>
    <s v="E2201"/>
    <s v="Astuti Hartati"/>
    <s v="JAKARTA"/>
    <s v="Karyawan Tetap"/>
    <d v="2020-01-20T00:00:00"/>
    <s v="Islam"/>
    <s v="F"/>
    <s v="BANDUNG"/>
    <d v="1992-08-21T00:00:00"/>
    <n v="0.86"/>
    <n v="33"/>
    <x v="0"/>
    <s v="Good"/>
    <x v="0"/>
    <n v="5000000"/>
    <n v="1"/>
    <n v="0"/>
    <x v="0"/>
    <x v="11"/>
  </r>
  <r>
    <s v="N1134"/>
    <s v="Rizal Prasetya"/>
    <s v="DENPASAR"/>
    <s v="Kontrak"/>
    <d v="2013-02-18T00:00:00"/>
    <s v="Islam"/>
    <s v="M"/>
    <s v="JEMBER"/>
    <d v="1986-04-10T00:00:00"/>
    <n v="0.76"/>
    <n v="39"/>
    <x v="0"/>
    <s v="Good"/>
    <x v="1"/>
    <n v="7000000"/>
    <n v="1"/>
    <n v="0"/>
    <x v="1"/>
    <x v="16"/>
  </r>
  <r>
    <s v="N1068"/>
    <s v="Nita Wulandari"/>
    <s v="JAKARTA"/>
    <s v="Kontrak"/>
    <d v="2011-04-11T00:00:00"/>
    <s v="Islam"/>
    <s v="F"/>
    <s v="SRAGEN"/>
    <d v="1987-03-13T00:00:00"/>
    <n v="0.95"/>
    <n v="38"/>
    <x v="0"/>
    <s v="Good"/>
    <x v="1"/>
    <n v="7000000"/>
    <n v="1"/>
    <n v="7000000"/>
    <x v="0"/>
    <x v="17"/>
  </r>
  <r>
    <s v="E0896"/>
    <s v="Esa Sigit"/>
    <s v="JAKARTA"/>
    <s v="Karyawan Tetap"/>
    <d v="2004-05-10T00:00:00"/>
    <s v="Islam"/>
    <s v="M"/>
    <s v="JAKARTA"/>
    <d v="1975-08-09T00:00:00"/>
    <n v="0.73"/>
    <n v="50"/>
    <x v="1"/>
    <s v="Good"/>
    <x v="0"/>
    <n v="5000000"/>
    <n v="1"/>
    <n v="0"/>
    <x v="1"/>
    <x v="18"/>
  </r>
  <r>
    <s v="E0931"/>
    <s v="Rika Sari"/>
    <s v="JAKARTA"/>
    <s v="Karyawan Tetap"/>
    <d v="2006-05-01T00:00:00"/>
    <s v="Islam"/>
    <s v="M"/>
    <s v="JAKARTA"/>
    <d v="1979-02-16T00:00:00"/>
    <n v="0.87"/>
    <n v="46"/>
    <x v="0"/>
    <s v="Good"/>
    <x v="2"/>
    <n v="4000000"/>
    <n v="1"/>
    <n v="0"/>
    <x v="1"/>
    <x v="10"/>
  </r>
  <r>
    <s v="E0813"/>
    <s v="Winda Pertiwi"/>
    <s v="JAKARTA"/>
    <s v="Karyawan Tetap"/>
    <d v="2000-06-01T00:00:00"/>
    <s v="Islam"/>
    <s v="F"/>
    <s v="JAKARTA"/>
    <d v="1971-11-01T00:00:00"/>
    <n v="0.71"/>
    <n v="54"/>
    <x v="1"/>
    <s v="Good"/>
    <x v="0"/>
    <n v="5000000"/>
    <n v="1"/>
    <n v="0"/>
    <x v="0"/>
    <x v="8"/>
  </r>
  <r>
    <s v="E3144"/>
    <s v="Agus Santoso"/>
    <s v="JAKARTA"/>
    <s v="Karyawan Tetap"/>
    <d v="2024-03-01T00:00:00"/>
    <s v="Islam"/>
    <s v="M"/>
    <s v="JAKARTA"/>
    <d v="1995-02-15T00:00:00"/>
    <n v="0.66"/>
    <n v="30"/>
    <x v="0"/>
    <s v="Poor"/>
    <x v="1"/>
    <n v="7000000"/>
    <n v="1"/>
    <n v="0"/>
    <x v="1"/>
    <x v="19"/>
  </r>
  <r>
    <s v="E3143"/>
    <s v="Rudi Prasetya"/>
    <s v="JAKARTA"/>
    <s v="Karyawan Tetap"/>
    <d v="2024-03-01T00:00:00"/>
    <s v="Islam"/>
    <s v="M"/>
    <s v="JAKARTA"/>
    <d v="1995-02-15T00:00:00"/>
    <n v="0.88"/>
    <n v="30"/>
    <x v="0"/>
    <s v="Good"/>
    <x v="2"/>
    <n v="4000000"/>
    <n v="1"/>
    <n v="0"/>
    <x v="1"/>
    <x v="19"/>
  </r>
  <r>
    <s v="N2114"/>
    <s v="Dedy Santoso"/>
    <s v="JAKARTA"/>
    <s v="Kontrak"/>
    <d v="2019-09-02T00:00:00"/>
    <s v="Islam"/>
    <s v="M"/>
    <s v="CILACAP"/>
    <d v="1993-08-28T00:00:00"/>
    <n v="0.91"/>
    <n v="32"/>
    <x v="0"/>
    <s v="Good"/>
    <x v="0"/>
    <n v="5000000"/>
    <n v="1"/>
    <n v="5000000"/>
    <x v="1"/>
    <x v="3"/>
  </r>
  <r>
    <s v="E1885"/>
    <s v="Bagus Satria"/>
    <s v="MEDAN"/>
    <s v="Karyawan Tetap"/>
    <d v="2018-07-02T00:00:00"/>
    <s v="Islam"/>
    <s v="M"/>
    <s v="SUMATRA UTARA"/>
    <d v="1992-07-05T00:00:00"/>
    <n v="0.79"/>
    <n v="33"/>
    <x v="0"/>
    <s v="Good"/>
    <x v="5"/>
    <n v="12000000"/>
    <n v="2"/>
    <n v="0"/>
    <x v="1"/>
    <x v="4"/>
  </r>
  <r>
    <s v="E2898"/>
    <s v="Ahmad Hidayat"/>
    <s v="JAKARTA"/>
    <s v="Karyawan Tetap"/>
    <d v="2023-03-20T00:00:00"/>
    <s v="Islam"/>
    <s v="M"/>
    <s v="JAKARTA"/>
    <d v="1996-10-13T00:00:00"/>
    <n v="0.76"/>
    <n v="29"/>
    <x v="0"/>
    <s v="Good"/>
    <x v="2"/>
    <n v="4000000"/>
    <n v="1"/>
    <n v="0"/>
    <x v="1"/>
    <x v="12"/>
  </r>
  <r>
    <s v="N1565"/>
    <s v="Sigit Saputra"/>
    <s v="JAKARTA"/>
    <s v="Kontrak"/>
    <d v="2016-08-01T00:00:00"/>
    <s v="Islam"/>
    <s v="M"/>
    <s v="JAKARTA"/>
    <d v="1978-10-31T00:00:00"/>
    <n v="0.71"/>
    <n v="47"/>
    <x v="0"/>
    <s v="Good"/>
    <x v="3"/>
    <n v="25000000"/>
    <n v="2"/>
    <n v="0"/>
    <x v="1"/>
    <x v="15"/>
  </r>
  <r>
    <s v="N2378"/>
    <s v="Agus Nugroho"/>
    <s v="JAKARTA"/>
    <s v="Kontrak"/>
    <d v="2020-10-19T00:00:00"/>
    <s v="Islam"/>
    <s v="M"/>
    <s v="JOMBANG"/>
    <d v="1996-08-03T00:00:00"/>
    <n v="0.75"/>
    <n v="29"/>
    <x v="0"/>
    <s v="Good"/>
    <x v="3"/>
    <n v="25000000"/>
    <n v="2"/>
    <n v="0"/>
    <x v="1"/>
    <x v="11"/>
  </r>
  <r>
    <s v="N1191"/>
    <s v="Joko Sutrisno"/>
    <s v="JAKARTA"/>
    <s v="Kontrak"/>
    <d v="2014-11-01T00:00:00"/>
    <s v="Islam"/>
    <s v="M"/>
    <s v="BOGOR"/>
    <d v="1985-11-26T00:00:00"/>
    <n v="0.81"/>
    <n v="40"/>
    <x v="0"/>
    <s v="Good"/>
    <x v="3"/>
    <n v="25000000"/>
    <n v="2"/>
    <n v="0"/>
    <x v="1"/>
    <x v="5"/>
  </r>
  <r>
    <s v="E1601"/>
    <s v="Iwan Prasetyo"/>
    <s v="JAKARTA"/>
    <s v="Karyawan Tetap"/>
    <d v="2016-12-01T00:00:00"/>
    <s v="Islam"/>
    <s v="M"/>
    <s v="GRESIK"/>
    <d v="1988-03-26T00:00:00"/>
    <n v="1"/>
    <n v="37"/>
    <x v="0"/>
    <s v="Good"/>
    <x v="0"/>
    <n v="5000000"/>
    <n v="1"/>
    <n v="5000000"/>
    <x v="1"/>
    <x v="15"/>
  </r>
  <r>
    <s v="E3140"/>
    <s v="Dodi Nugraha"/>
    <s v="JAKARTA"/>
    <s v="Karyawan Tetap"/>
    <d v="2024-03-01T00:00:00"/>
    <s v="Islam"/>
    <s v="M"/>
    <s v="JAKARTA"/>
    <d v="1994-12-19T00:00:00"/>
    <n v="0.91"/>
    <n v="31"/>
    <x v="0"/>
    <s v="Good"/>
    <x v="1"/>
    <n v="7000000"/>
    <n v="1"/>
    <n v="7000000"/>
    <x v="1"/>
    <x v="19"/>
  </r>
  <r>
    <s v="E3142"/>
    <s v="Rika Sari"/>
    <s v="JAKARTA"/>
    <s v="Karyawan Tetap"/>
    <d v="2024-03-01T00:00:00"/>
    <s v="Islam"/>
    <s v="F"/>
    <s v="JAKARTA"/>
    <d v="1994-12-19T00:00:00"/>
    <n v="0.62"/>
    <n v="31"/>
    <x v="0"/>
    <s v="Poor"/>
    <x v="0"/>
    <n v="5000000"/>
    <n v="1"/>
    <n v="0"/>
    <x v="0"/>
    <x v="19"/>
  </r>
  <r>
    <s v="E1604"/>
    <s v="Dian Purnama"/>
    <s v="JAKARTA"/>
    <s v="Karyawan Tetap"/>
    <d v="2016-12-13T00:00:00"/>
    <s v="Islam"/>
    <s v="F"/>
    <s v="TUAL"/>
    <d v="1988-02-18T00:00:00"/>
    <n v="0.72"/>
    <n v="37"/>
    <x v="0"/>
    <s v="Good"/>
    <x v="0"/>
    <n v="5000000"/>
    <n v="1"/>
    <n v="0"/>
    <x v="0"/>
    <x v="15"/>
  </r>
  <r>
    <s v="E0892"/>
    <s v="Ernest Prakasa"/>
    <s v="JAKARTA"/>
    <s v="Karyawan Tetap"/>
    <d v="2004-03-11T00:00:00"/>
    <s v="Islam"/>
    <s v="M"/>
    <s v="JAKARTA"/>
    <d v="1976-11-03T00:00:00"/>
    <n v="0.77"/>
    <n v="49"/>
    <x v="0"/>
    <s v="Good"/>
    <x v="2"/>
    <n v="4000000"/>
    <n v="1"/>
    <n v="0"/>
    <x v="1"/>
    <x v="18"/>
  </r>
  <r>
    <s v="E1109"/>
    <s v="Yudi Susilo"/>
    <s v="JAKARTA"/>
    <s v="Karyawan Tetap"/>
    <d v="2012-09-10T00:00:00"/>
    <s v="Islam"/>
    <s v="M"/>
    <s v="KARANGANYAR"/>
    <d v="1990-04-21T00:00:00"/>
    <n v="0.65"/>
    <n v="35"/>
    <x v="0"/>
    <s v="Poor"/>
    <x v="0"/>
    <n v="5000000"/>
    <n v="1"/>
    <n v="0"/>
    <x v="1"/>
    <x v="14"/>
  </r>
  <r>
    <s v="E2885"/>
    <s v="Retno Purnomo"/>
    <s v="JAKARTA"/>
    <s v="Karyawan Tetap"/>
    <d v="2023-02-01T00:00:00"/>
    <s v="Islam"/>
    <s v="M"/>
    <s v="INDRAMAYU"/>
    <d v="1986-07-10T00:00:00"/>
    <n v="0.78"/>
    <n v="39"/>
    <x v="0"/>
    <s v="Good"/>
    <x v="5"/>
    <n v="12000000"/>
    <n v="2"/>
    <n v="0"/>
    <x v="1"/>
    <x v="12"/>
  </r>
  <r>
    <s v="E1456"/>
    <s v="Rudi Hartono"/>
    <s v="JAKARTA"/>
    <s v="Karyawan Tetap"/>
    <d v="2016-02-01T00:00:00"/>
    <s v="Islam"/>
    <s v="M"/>
    <s v="TANGERANG"/>
    <d v="1971-10-30T00:00:00"/>
    <n v="0.71"/>
    <n v="54"/>
    <x v="1"/>
    <s v="Good"/>
    <x v="0"/>
    <n v="5000000"/>
    <n v="1"/>
    <n v="0"/>
    <x v="1"/>
    <x v="15"/>
  </r>
  <r>
    <s v="E1393"/>
    <s v="Rani Kartika"/>
    <s v="JAKARTA"/>
    <s v="Karyawan Tetap"/>
    <d v="2016-02-01T00:00:00"/>
    <s v="Islam"/>
    <s v="F"/>
    <s v="TULUNGAGUNG"/>
    <d v="1986-01-08T00:00:00"/>
    <n v="0.63"/>
    <n v="39"/>
    <x v="0"/>
    <s v="Poor"/>
    <x v="0"/>
    <n v="5000000"/>
    <n v="1"/>
    <n v="0"/>
    <x v="0"/>
    <x v="15"/>
  </r>
  <r>
    <s v="E2322"/>
    <s v="Hadi Nugroho"/>
    <s v="JAKARTA"/>
    <s v="Karyawan Tetap"/>
    <d v="2020-07-01T00:00:00"/>
    <s v="Islam"/>
    <s v="M"/>
    <s v="JAKARTA"/>
    <d v="1993-01-16T00:00:00"/>
    <n v="0.72"/>
    <n v="32"/>
    <x v="0"/>
    <s v="Good"/>
    <x v="0"/>
    <n v="5000000"/>
    <n v="1"/>
    <n v="0"/>
    <x v="1"/>
    <x v="11"/>
  </r>
  <r>
    <s v="E0806"/>
    <s v="Rina Dewi"/>
    <s v="JAKARTA"/>
    <s v="Karyawan Tetap"/>
    <d v="2000-05-01T00:00:00"/>
    <s v="Islam"/>
    <s v="F"/>
    <s v="BANDUNG"/>
    <d v="1970-05-29T00:00:00"/>
    <n v="0.91"/>
    <n v="55"/>
    <x v="1"/>
    <s v="Good"/>
    <x v="1"/>
    <n v="7000000"/>
    <n v="1"/>
    <n v="7000000"/>
    <x v="0"/>
    <x v="8"/>
  </r>
  <r>
    <s v="E1866"/>
    <s v="Agung Prasetyo"/>
    <s v="JAKARTA"/>
    <s v="Karyawan Tetap"/>
    <d v="2018-05-07T00:00:00"/>
    <s v="Islam"/>
    <s v="M"/>
    <s v="JAKARTA"/>
    <d v="1993-12-11T00:00:00"/>
    <n v="0.66"/>
    <n v="32"/>
    <x v="0"/>
    <s v="Poor"/>
    <x v="2"/>
    <n v="4000000"/>
    <n v="1"/>
    <n v="0"/>
    <x v="1"/>
    <x v="4"/>
  </r>
  <r>
    <s v="E2600"/>
    <s v="Sari Wulandari"/>
    <s v="JAKARTA"/>
    <s v="Karyawan Tetap"/>
    <d v="2022-03-21T00:00:00"/>
    <s v="Islam"/>
    <s v="F"/>
    <s v="DI YOGYAKARTA"/>
    <d v="1995-07-16T00:00:00"/>
    <n v="0.88"/>
    <n v="30"/>
    <x v="0"/>
    <s v="Good"/>
    <x v="2"/>
    <n v="4000000"/>
    <n v="1"/>
    <n v="0"/>
    <x v="0"/>
    <x v="2"/>
  </r>
  <r>
    <s v="E0956"/>
    <s v="Wahyu Prasetyo"/>
    <s v="JAKARTA"/>
    <s v="Karyawan Tetap"/>
    <d v="2006-08-01T00:00:00"/>
    <s v="Islam"/>
    <s v="M"/>
    <s v="BANDUNG"/>
    <d v="1979-09-03T00:00:00"/>
    <n v="0.96"/>
    <n v="46"/>
    <x v="0"/>
    <s v="Good"/>
    <x v="1"/>
    <n v="7000000"/>
    <n v="1"/>
    <n v="7000000"/>
    <x v="1"/>
    <x v="10"/>
  </r>
  <r>
    <s v="N2070"/>
    <s v="Bhisma Mulia"/>
    <s v="JAKARTA"/>
    <s v="Kontrak"/>
    <d v="2019-06-10T00:00:00"/>
    <s v="Islam"/>
    <s v="M"/>
    <s v="PURWOKERTO"/>
    <d v="1994-03-18T00:00:00"/>
    <n v="0.82"/>
    <n v="31"/>
    <x v="0"/>
    <s v="Good"/>
    <x v="2"/>
    <n v="4000000"/>
    <n v="1"/>
    <n v="0"/>
    <x v="1"/>
    <x v="3"/>
  </r>
  <r>
    <s v="N2777"/>
    <s v="Mega Fitri"/>
    <s v="JAKARTA"/>
    <s v="Kontrak"/>
    <d v="2022-09-05T00:00:00"/>
    <s v="Islam"/>
    <s v="F"/>
    <s v="BOGOR"/>
    <d v="1997-08-29T00:00:00"/>
    <n v="0.68"/>
    <n v="28"/>
    <x v="0"/>
    <s v="Poor"/>
    <x v="2"/>
    <n v="4000000"/>
    <n v="1"/>
    <n v="0"/>
    <x v="0"/>
    <x v="2"/>
  </r>
  <r>
    <s v="E1718"/>
    <s v="Bambang Wijaya"/>
    <s v="JAKARTA"/>
    <s v="Karyawan Tetap"/>
    <d v="2017-07-17T00:00:00"/>
    <s v="Islam"/>
    <s v="M"/>
    <s v="JAKARTA"/>
    <d v="1993-10-07T00:00:00"/>
    <n v="0.83"/>
    <n v="32"/>
    <x v="0"/>
    <s v="Good"/>
    <x v="2"/>
    <n v="4000000"/>
    <n v="1"/>
    <n v="0"/>
    <x v="1"/>
    <x v="0"/>
  </r>
  <r>
    <s v="E1719"/>
    <s v="Maya Lestari"/>
    <s v="JAKARTA"/>
    <s v="Karyawan Tetap"/>
    <d v="2017-07-17T00:00:00"/>
    <s v="Islam"/>
    <s v="F"/>
    <s v="JAKARTA"/>
    <d v="1993-10-07T00:00:00"/>
    <n v="0.66"/>
    <n v="32"/>
    <x v="0"/>
    <s v="Poor"/>
    <x v="0"/>
    <n v="5000000"/>
    <n v="1"/>
    <n v="0"/>
    <x v="0"/>
    <x v="0"/>
  </r>
  <r>
    <s v="E1994"/>
    <s v="Adi Nugroho"/>
    <s v="JAKARTA"/>
    <s v="Karyawan Tetap"/>
    <d v="2018-12-06T00:00:00"/>
    <s v="Islam"/>
    <s v="M"/>
    <s v="SEMARANG"/>
    <d v="1992-11-05T00:00:00"/>
    <n v="0.65"/>
    <n v="33"/>
    <x v="0"/>
    <s v="Poor"/>
    <x v="0"/>
    <n v="5000000"/>
    <n v="1"/>
    <n v="0"/>
    <x v="1"/>
    <x v="4"/>
  </r>
  <r>
    <s v="N0795"/>
    <s v="Dolly Martin"/>
    <s v="JAKARTA"/>
    <s v="Kontrak"/>
    <d v="2000-03-13T00:00:00"/>
    <s v="Islam"/>
    <s v="M"/>
    <s v="TANJUNG KARANG"/>
    <d v="1977-03-06T00:00:00"/>
    <n v="0.63"/>
    <n v="48"/>
    <x v="0"/>
    <s v="Poor"/>
    <x v="2"/>
    <n v="4000000"/>
    <n v="1"/>
    <n v="0"/>
    <x v="1"/>
    <x v="8"/>
  </r>
  <r>
    <s v="N1708"/>
    <s v="Wulan Indriani"/>
    <s v="JAKARTA"/>
    <s v="Kontrak"/>
    <d v="2017-07-03T00:00:00"/>
    <s v="Islam"/>
    <s v="F"/>
    <s v="JAKARTA"/>
    <d v="1987-12-01T00:00:00"/>
    <n v="0.8"/>
    <n v="38"/>
    <x v="0"/>
    <s v="Good"/>
    <x v="2"/>
    <n v="4000000"/>
    <n v="1"/>
    <n v="0"/>
    <x v="0"/>
    <x v="0"/>
  </r>
  <r>
    <s v="E2071"/>
    <s v="Rina Nurhayati"/>
    <s v="JAKARTA"/>
    <s v="Karyawan Tetap"/>
    <d v="2019-06-11T00:00:00"/>
    <s v="Islam"/>
    <s v="F"/>
    <s v="JAKARTA"/>
    <d v="1994-02-05T00:00:00"/>
    <n v="0.81"/>
    <n v="31"/>
    <x v="0"/>
    <s v="Good"/>
    <x v="0"/>
    <n v="5000000"/>
    <n v="1"/>
    <n v="0"/>
    <x v="0"/>
    <x v="3"/>
  </r>
  <r>
    <s v="E1049"/>
    <s v="Raina Aryani"/>
    <s v="JAKARTA"/>
    <s v="Karyawan Tetap"/>
    <d v="2008-10-20T00:00:00"/>
    <s v="Islam"/>
    <s v="F"/>
    <s v="JAKARTA"/>
    <d v="1985-08-28T00:00:00"/>
    <n v="0.74"/>
    <n v="40"/>
    <x v="0"/>
    <s v="Good"/>
    <x v="0"/>
    <n v="5000000"/>
    <n v="1"/>
    <n v="0"/>
    <x v="0"/>
    <x v="20"/>
  </r>
  <r>
    <s v="E1227"/>
    <s v="Tari Anggraini"/>
    <s v="JAKARTA"/>
    <s v="Karyawan Tetap"/>
    <d v="2015-03-02T00:00:00"/>
    <s v="Islam"/>
    <s v="F"/>
    <s v="JAKARTA"/>
    <d v="1989-10-28T00:00:00"/>
    <n v="1"/>
    <n v="36"/>
    <x v="0"/>
    <s v="Good"/>
    <x v="2"/>
    <n v="4000000"/>
    <n v="1"/>
    <n v="4000000"/>
    <x v="0"/>
    <x v="21"/>
  </r>
  <r>
    <s v="E1138"/>
    <s v="Karen Riyanti"/>
    <s v="JAKARTA"/>
    <s v="Karyawan Tetap"/>
    <d v="2013-04-01T00:00:00"/>
    <s v="Islam"/>
    <s v="F"/>
    <s v="BANDUNG"/>
    <d v="1985-08-20T00:00:00"/>
    <n v="0.6"/>
    <n v="40"/>
    <x v="0"/>
    <s v="Poor"/>
    <x v="1"/>
    <n v="7000000"/>
    <n v="1"/>
    <n v="0"/>
    <x v="0"/>
    <x v="16"/>
  </r>
  <r>
    <s v="E0991"/>
    <s v="Titin Aryani"/>
    <s v="JAKARTA"/>
    <s v="Karyawan Tetap"/>
    <d v="2007-03-26T00:00:00"/>
    <s v="Islam"/>
    <s v="F"/>
    <s v="SITUBONDO"/>
    <d v="1983-07-15T00:00:00"/>
    <n v="0.67"/>
    <n v="42"/>
    <x v="0"/>
    <s v="Poor"/>
    <x v="1"/>
    <n v="7000000"/>
    <n v="1"/>
    <n v="0"/>
    <x v="0"/>
    <x v="6"/>
  </r>
  <r>
    <s v="E2585"/>
    <s v="Ilsa Utami"/>
    <s v="JAKARTA"/>
    <s v="Karyawan Tetap"/>
    <d v="2022-02-02T00:00:00"/>
    <s v="Islam"/>
    <s v="F"/>
    <s v="SALATIGA"/>
    <d v="1990-10-22T00:00:00"/>
    <n v="0.83"/>
    <n v="35"/>
    <x v="0"/>
    <s v="Good"/>
    <x v="0"/>
    <n v="5000000"/>
    <n v="1"/>
    <n v="0"/>
    <x v="0"/>
    <x v="2"/>
  </r>
  <r>
    <s v="N2803"/>
    <s v="Jessica Hariyah"/>
    <s v="JAKARTA"/>
    <s v="Kontrak"/>
    <d v="2022-10-24T00:00:00"/>
    <s v="Islam"/>
    <s v="F"/>
    <s v="CILACAP"/>
    <d v="1998-09-20T00:00:00"/>
    <n v="0.61"/>
    <n v="27"/>
    <x v="0"/>
    <s v="Poor"/>
    <x v="0"/>
    <n v="5000000"/>
    <n v="1"/>
    <n v="0"/>
    <x v="0"/>
    <x v="2"/>
  </r>
  <r>
    <s v="E0948"/>
    <s v="Almira Hasanah"/>
    <s v="JAKARTA"/>
    <s v="Karyawan Tetap"/>
    <d v="2006-06-01T00:00:00"/>
    <s v="Islam"/>
    <s v="F"/>
    <s v="JAKARTA"/>
    <d v="1978-07-20T00:00:00"/>
    <n v="0.64"/>
    <n v="47"/>
    <x v="0"/>
    <s v="Poor"/>
    <x v="1"/>
    <n v="7000000"/>
    <n v="1"/>
    <n v="0"/>
    <x v="0"/>
    <x v="10"/>
  </r>
  <r>
    <s v="E1863"/>
    <s v="Sari Astuti"/>
    <s v="JAKARTA"/>
    <s v="Karyawan Tetap"/>
    <d v="2018-04-26T00:00:00"/>
    <s v="Islam"/>
    <s v="F"/>
    <s v="JAKARTA"/>
    <d v="1986-05-30T00:00:00"/>
    <n v="0.87"/>
    <n v="39"/>
    <x v="0"/>
    <s v="Good"/>
    <x v="0"/>
    <n v="5000000"/>
    <n v="1"/>
    <n v="0"/>
    <x v="0"/>
    <x v="4"/>
  </r>
  <r>
    <s v="E2819"/>
    <s v="Aurora Anggraini"/>
    <s v="JAKARTA"/>
    <s v="Karyawan Tetap"/>
    <d v="2022-11-21T00:00:00"/>
    <s v="Islam"/>
    <s v="F"/>
    <s v="TULUNGAGUNG"/>
    <d v="1989-10-07T00:00:00"/>
    <n v="1"/>
    <n v="36"/>
    <x v="0"/>
    <s v="Good"/>
    <x v="0"/>
    <n v="5000000"/>
    <n v="1"/>
    <n v="5000000"/>
    <x v="0"/>
    <x v="2"/>
  </r>
  <r>
    <s v="N2549"/>
    <s v="Vivi Andriani"/>
    <s v="JAKARTA"/>
    <s v="Kontrak"/>
    <d v="2021-12-01T00:00:00"/>
    <s v="Islam"/>
    <s v="F"/>
    <s v="JAKARTA"/>
    <d v="1994-10-20T00:00:00"/>
    <n v="0.89"/>
    <n v="31"/>
    <x v="0"/>
    <s v="Good"/>
    <x v="2"/>
    <n v="4000000"/>
    <n v="1"/>
    <n v="0"/>
    <x v="0"/>
    <x v="1"/>
  </r>
  <r>
    <s v="N1991"/>
    <s v="Eka Nashiruddin"/>
    <s v="JAKARTA"/>
    <s v="Kontrak"/>
    <d v="2018-11-26T00:00:00"/>
    <s v="Islam"/>
    <s v="F"/>
    <s v="JAKARTA"/>
    <d v="1988-04-09T00:00:00"/>
    <n v="0.82"/>
    <n v="37"/>
    <x v="0"/>
    <s v="Good"/>
    <x v="1"/>
    <n v="7000000"/>
    <n v="1"/>
    <n v="0"/>
    <x v="0"/>
    <x v="4"/>
  </r>
  <r>
    <s v="E2082"/>
    <s v="Adiarja Sirait"/>
    <s v="JAKARTA"/>
    <s v="Karyawan Tetap"/>
    <d v="2019-07-01T00:00:00"/>
    <s v="Islam"/>
    <s v="M"/>
    <s v="BANDUNG"/>
    <d v="1991-04-07T00:00:00"/>
    <n v="0.76"/>
    <n v="34"/>
    <x v="0"/>
    <s v="Good"/>
    <x v="2"/>
    <n v="4000000"/>
    <n v="1"/>
    <n v="0"/>
    <x v="1"/>
    <x v="3"/>
  </r>
  <r>
    <s v="E1989"/>
    <s v="Sidiq Pranowo"/>
    <s v="JAKARTA"/>
    <s v="Karyawan Tetap"/>
    <d v="2018-11-12T00:00:00"/>
    <s v="Islam"/>
    <s v="M"/>
    <s v="BEKASI"/>
    <d v="1989-09-08T00:00:00"/>
    <n v="0.94"/>
    <n v="36"/>
    <x v="0"/>
    <s v="Good"/>
    <x v="0"/>
    <n v="5000000"/>
    <n v="1"/>
    <n v="5000000"/>
    <x v="1"/>
    <x v="4"/>
  </r>
  <r>
    <s v="E1987"/>
    <s v="Harsana Budiman"/>
    <s v="JAKARTA"/>
    <s v="Karyawan Tetap"/>
    <d v="2018-11-12T00:00:00"/>
    <s v="Islam"/>
    <s v="M"/>
    <s v="BEKASI"/>
    <d v="1989-09-08T00:00:00"/>
    <n v="0.76"/>
    <n v="36"/>
    <x v="0"/>
    <s v="Good"/>
    <x v="2"/>
    <n v="4000000"/>
    <n v="1"/>
    <n v="0"/>
    <x v="1"/>
    <x v="4"/>
  </r>
  <r>
    <s v="E2601"/>
    <s v="Galar Halim"/>
    <s v="JAKARTA"/>
    <s v="Karyawan Tetap"/>
    <d v="2022-03-21T00:00:00"/>
    <s v="Islam"/>
    <s v="M"/>
    <s v="JAKARTA"/>
    <d v="1994-03-06T00:00:00"/>
    <n v="0.9"/>
    <n v="31"/>
    <x v="0"/>
    <s v="Good"/>
    <x v="2"/>
    <n v="4000000"/>
    <n v="1"/>
    <n v="0"/>
    <x v="1"/>
    <x v="2"/>
  </r>
  <r>
    <s v="N1579"/>
    <s v="Kardi Saptono"/>
    <s v="JAKARTA"/>
    <s v="Kontrak"/>
    <d v="2016-08-15T00:00:00"/>
    <s v="Islam"/>
    <s v="M"/>
    <s v="JAKARTA"/>
    <d v="1990-08-02T00:00:00"/>
    <n v="0.63"/>
    <n v="35"/>
    <x v="0"/>
    <s v="Poor"/>
    <x v="2"/>
    <n v="4000000"/>
    <n v="1"/>
    <n v="0"/>
    <x v="1"/>
    <x v="15"/>
  </r>
  <r>
    <s v="N0867"/>
    <s v="Sabar Situmorang"/>
    <s v="JAKARTA"/>
    <s v="Kontrak"/>
    <d v="2002-12-11T00:00:00"/>
    <s v="Islam"/>
    <s v="M"/>
    <s v="PALEMBANG"/>
    <d v="1979-12-28T00:00:00"/>
    <n v="0.7"/>
    <n v="46"/>
    <x v="0"/>
    <s v="Good"/>
    <x v="2"/>
    <n v="4000000"/>
    <n v="1"/>
    <n v="0"/>
    <x v="1"/>
    <x v="22"/>
  </r>
  <r>
    <s v="E2389"/>
    <s v="Dimaz Zulkarnain"/>
    <s v="JAKARTA"/>
    <s v="Karyawan Tetap"/>
    <d v="2020-12-07T00:00:00"/>
    <s v="Islam"/>
    <s v="M"/>
    <s v="JAKARTA"/>
    <d v="1992-06-10T00:00:00"/>
    <n v="0.62"/>
    <n v="33"/>
    <x v="0"/>
    <s v="Poor"/>
    <x v="0"/>
    <n v="5000000"/>
    <n v="1"/>
    <n v="0"/>
    <x v="1"/>
    <x v="11"/>
  </r>
  <r>
    <s v="E1175"/>
    <s v="Balapati Prasetya"/>
    <s v="BANDUNG"/>
    <s v="Karyawan Tetap"/>
    <d v="2014-06-02T00:00:00"/>
    <s v="Islam"/>
    <s v="M"/>
    <s v="BANDUNG"/>
    <d v="1975-10-16T00:00:00"/>
    <n v="0.67"/>
    <n v="50"/>
    <x v="1"/>
    <s v="Poor"/>
    <x v="1"/>
    <n v="7000000"/>
    <n v="1"/>
    <n v="0"/>
    <x v="1"/>
    <x v="5"/>
  </r>
  <r>
    <s v="N1378"/>
    <s v="Eja Widodo"/>
    <s v="JAKARTA"/>
    <s v="Kontrak"/>
    <d v="2016-01-11T00:00:00"/>
    <s v="Islam"/>
    <s v="M"/>
    <s v="BANDUNG"/>
    <d v="1993-05-30T00:00:00"/>
    <n v="0.6"/>
    <n v="32"/>
    <x v="0"/>
    <s v="Poor"/>
    <x v="2"/>
    <n v="4000000"/>
    <n v="1"/>
    <n v="0"/>
    <x v="1"/>
    <x v="15"/>
  </r>
  <r>
    <s v="E2890"/>
    <s v="Prabu Haryanto"/>
    <s v="JAKARTA"/>
    <s v="Karyawan Tetap"/>
    <d v="2023-02-20T00:00:00"/>
    <s v="Islam"/>
    <s v="M"/>
    <s v="PACITAN"/>
    <d v="1994-12-16T00:00:00"/>
    <n v="0.81"/>
    <n v="31"/>
    <x v="0"/>
    <s v="Good"/>
    <x v="0"/>
    <n v="5000000"/>
    <n v="1"/>
    <n v="0"/>
    <x v="1"/>
    <x v="12"/>
  </r>
  <r>
    <s v="E0967"/>
    <s v="Cayadi Putra"/>
    <s v="SURABAYA"/>
    <s v="Karyawan Tetap"/>
    <d v="2006-10-09T00:00:00"/>
    <s v="Islam"/>
    <s v="M"/>
    <s v="SURABAYA"/>
    <d v="1985-01-13T00:00:00"/>
    <n v="0.6"/>
    <n v="40"/>
    <x v="0"/>
    <s v="Poor"/>
    <x v="2"/>
    <n v="4000000"/>
    <n v="1"/>
    <n v="0"/>
    <x v="1"/>
    <x v="10"/>
  </r>
  <r>
    <s v="N1660"/>
    <s v="Gambira Pranowo"/>
    <s v="JAKARTA"/>
    <s v="Kontrak"/>
    <d v="2017-02-01T00:00:00"/>
    <s v="Islam"/>
    <s v="M"/>
    <s v="JAKARTA"/>
    <d v="1986-10-16T00:00:00"/>
    <n v="0.83"/>
    <n v="39"/>
    <x v="0"/>
    <s v="Good"/>
    <x v="2"/>
    <n v="4000000"/>
    <n v="1"/>
    <n v="0"/>
    <x v="1"/>
    <x v="0"/>
  </r>
  <r>
    <s v="E1806"/>
    <s v="Salman Wasita"/>
    <s v="JAKARTA"/>
    <s v="Karyawan Tetap"/>
    <d v="2017-12-18T00:00:00"/>
    <s v="Islam"/>
    <s v="M"/>
    <s v="JAKARTA"/>
    <d v="1990-06-19T00:00:00"/>
    <n v="0.84"/>
    <n v="35"/>
    <x v="0"/>
    <s v="Good"/>
    <x v="5"/>
    <n v="12000000"/>
    <n v="2"/>
    <n v="0"/>
    <x v="1"/>
    <x v="0"/>
  </r>
  <r>
    <s v="E1036"/>
    <s v="Wardaya Dongoran"/>
    <s v="BANDUNG"/>
    <s v="Karyawan Tetap"/>
    <d v="2008-07-28T00:00:00"/>
    <s v="Islam"/>
    <s v="M"/>
    <s v="JAKARTA"/>
    <d v="1984-11-30T00:00:00"/>
    <n v="0.66"/>
    <n v="41"/>
    <x v="0"/>
    <s v="Poor"/>
    <x v="5"/>
    <n v="12000000"/>
    <n v="2"/>
    <n v="0"/>
    <x v="1"/>
    <x v="20"/>
  </r>
  <r>
    <s v="N2183"/>
    <s v="Kania Permata"/>
    <s v="JAKARTA"/>
    <s v="Kontrak"/>
    <d v="2020-01-13T00:00:00"/>
    <s v="Islam"/>
    <s v="F"/>
    <s v="TEGAL"/>
    <d v="1998-05-29T00:00:00"/>
    <n v="0.77"/>
    <n v="27"/>
    <x v="0"/>
    <s v="Good"/>
    <x v="1"/>
    <n v="7000000"/>
    <n v="1"/>
    <n v="0"/>
    <x v="0"/>
    <x v="11"/>
  </r>
  <r>
    <s v="N1723"/>
    <s v="Eva Yolanda"/>
    <s v="BANDUNG"/>
    <s v="Kontrak"/>
    <d v="2017-07-11T00:00:00"/>
    <s v="Islam"/>
    <s v="F"/>
    <s v="CIMAHI"/>
    <d v="1985-02-11T00:00:00"/>
    <n v="0.79"/>
    <n v="40"/>
    <x v="0"/>
    <s v="Good"/>
    <x v="1"/>
    <n v="7000000"/>
    <n v="1"/>
    <n v="0"/>
    <x v="0"/>
    <x v="0"/>
  </r>
  <r>
    <s v="N1583"/>
    <s v="Amalia Yuniar"/>
    <s v="JAKARTA"/>
    <s v="Kontrak"/>
    <d v="2016-08-26T00:00:00"/>
    <s v="Islam"/>
    <s v="F"/>
    <s v="JAKARTA"/>
    <d v="1993-01-15T00:00:00"/>
    <n v="0.64"/>
    <n v="32"/>
    <x v="0"/>
    <s v="Poor"/>
    <x v="3"/>
    <n v="25000000"/>
    <n v="2"/>
    <n v="0"/>
    <x v="0"/>
    <x v="15"/>
  </r>
  <r>
    <s v="E1512"/>
    <s v="Ade Rahayu"/>
    <s v="JAKARTA"/>
    <s v="Karyawan Tetap"/>
    <d v="2016-04-15T00:00:00"/>
    <s v="Islam"/>
    <s v="F"/>
    <s v="MAKASAR"/>
    <d v="1990-03-28T00:00:00"/>
    <n v="0.85"/>
    <n v="35"/>
    <x v="0"/>
    <s v="Good"/>
    <x v="4"/>
    <n v="18000000"/>
    <n v="2"/>
    <n v="0"/>
    <x v="0"/>
    <x v="15"/>
  </r>
  <r>
    <s v="E2536"/>
    <s v="Zizi Usada"/>
    <s v="JAKARTA"/>
    <s v="Karyawan Tetap"/>
    <d v="2021-11-01T00:00:00"/>
    <s v="Katolik"/>
    <s v="F"/>
    <s v="BEKASI"/>
    <d v="1994-11-08T00:00:00"/>
    <n v="0.87"/>
    <n v="31"/>
    <x v="0"/>
    <s v="Good"/>
    <x v="4"/>
    <n v="18000000"/>
    <n v="2"/>
    <n v="0"/>
    <x v="0"/>
    <x v="1"/>
  </r>
  <r>
    <s v="E1062"/>
    <s v="Gaduh Pratama"/>
    <s v="JAKARTA"/>
    <s v="Karyawan Tetap"/>
    <d v="2010-07-12T00:00:00"/>
    <s v="Islam"/>
    <s v="M"/>
    <s v="PADANG"/>
    <d v="1982-04-23T00:00:00"/>
    <n v="0.88"/>
    <n v="43"/>
    <x v="0"/>
    <s v="Good"/>
    <x v="4"/>
    <n v="18000000"/>
    <n v="2"/>
    <n v="0"/>
    <x v="1"/>
    <x v="7"/>
  </r>
  <r>
    <s v="E1162"/>
    <s v="Laras Nuraini"/>
    <s v="JAKARTA"/>
    <s v="Karyawan Tetap"/>
    <d v="2014-04-21T00:00:00"/>
    <s v="Islam"/>
    <s v="F"/>
    <s v="JAKARTA"/>
    <d v="1992-03-10T00:00:00"/>
    <n v="0.8"/>
    <n v="33"/>
    <x v="0"/>
    <s v="Good"/>
    <x v="4"/>
    <n v="18000000"/>
    <n v="2"/>
    <n v="0"/>
    <x v="0"/>
    <x v="5"/>
  </r>
  <r>
    <s v="E1182"/>
    <s v="Cinthia Gunawan"/>
    <s v="JAKARTA"/>
    <s v="Karyawan Tetap"/>
    <d v="2015-09-01T00:00:00"/>
    <s v="Katolik"/>
    <s v="F"/>
    <s v="TEBING TINGGI"/>
    <d v="1973-11-26T00:00:00"/>
    <n v="0.84"/>
    <n v="52"/>
    <x v="1"/>
    <s v="Good"/>
    <x v="1"/>
    <n v="7000000"/>
    <n v="1"/>
    <n v="0"/>
    <x v="0"/>
    <x v="21"/>
  </r>
  <r>
    <s v="E1922"/>
    <s v="Bagiya Sihombing"/>
    <s v="JAKARTA"/>
    <s v="Karyawan Tetap"/>
    <d v="2018-08-20T00:00:00"/>
    <s v="Islam"/>
    <s v="F"/>
    <s v="JAKARTA"/>
    <d v="1994-12-02T00:00:00"/>
    <n v="0.97"/>
    <n v="31"/>
    <x v="0"/>
    <s v="Good"/>
    <x v="1"/>
    <n v="7000000"/>
    <n v="1"/>
    <n v="7000000"/>
    <x v="0"/>
    <x v="4"/>
  </r>
  <r>
    <s v="E1735"/>
    <s v="Violet Mentari"/>
    <s v="SURABAYA"/>
    <s v="Karyawan Tetap"/>
    <d v="2017-08-14T00:00:00"/>
    <s v="Islam"/>
    <s v="F"/>
    <s v="BANYUWANGI"/>
    <d v="1990-09-07T00:00:00"/>
    <n v="0.78"/>
    <n v="35"/>
    <x v="0"/>
    <s v="Good"/>
    <x v="1"/>
    <n v="7000000"/>
    <n v="1"/>
    <n v="0"/>
    <x v="0"/>
    <x v="0"/>
  </r>
  <r>
    <s v="N2168"/>
    <s v="Paiman Firgantoro"/>
    <s v="JAKARTA"/>
    <s v="Kontrak"/>
    <d v="2019-12-09T00:00:00"/>
    <s v="Islam"/>
    <s v="M"/>
    <s v="JAKARTA"/>
    <d v="1988-12-09T00:00:00"/>
    <n v="0.87"/>
    <n v="37"/>
    <x v="0"/>
    <s v="Good"/>
    <x v="3"/>
    <n v="25000000"/>
    <n v="2"/>
    <n v="0"/>
    <x v="1"/>
    <x v="3"/>
  </r>
  <r>
    <s v="E1016"/>
    <s v="Ophelia Mustofa"/>
    <s v="MEDAN"/>
    <s v="Karyawan Tetap"/>
    <d v="2008-01-02T00:00:00"/>
    <s v="Islam"/>
    <s v="M"/>
    <s v="MEDAN"/>
    <d v="1982-10-28T00:00:00"/>
    <n v="0.79"/>
    <n v="43"/>
    <x v="0"/>
    <s v="Good"/>
    <x v="0"/>
    <n v="5000000"/>
    <n v="1"/>
    <n v="0"/>
    <x v="1"/>
    <x v="20"/>
  </r>
  <r>
    <s v="E2527"/>
    <s v="Darmanto Laksita"/>
    <s v="SURABAYA"/>
    <s v="Karyawan Tetap"/>
    <d v="2021-09-20T00:00:00"/>
    <s v="Islam"/>
    <s v="F"/>
    <s v="SURABAYA"/>
    <d v="1993-10-01T00:00:00"/>
    <n v="0.6"/>
    <n v="32"/>
    <x v="0"/>
    <s v="Poor"/>
    <x v="1"/>
    <n v="7000000"/>
    <n v="1"/>
    <n v="0"/>
    <x v="0"/>
    <x v="1"/>
  </r>
  <r>
    <s v="E1900"/>
    <s v="Kenari Rajasa"/>
    <s v="JAKARTA"/>
    <s v="Karyawan Tetap"/>
    <d v="2018-08-01T00:00:00"/>
    <s v="Islam"/>
    <s v="F"/>
    <s v="PEKALONGAN"/>
    <d v="1987-01-22T00:00:00"/>
    <n v="0.74"/>
    <n v="38"/>
    <x v="0"/>
    <s v="Good"/>
    <x v="0"/>
    <n v="5000000"/>
    <n v="1"/>
    <n v="0"/>
    <x v="0"/>
    <x v="4"/>
  </r>
  <r>
    <s v="E1909"/>
    <s v="Puti Nadine Prakasa"/>
    <s v="JAKARTA"/>
    <s v="Karyawan Tetap"/>
    <d v="2018-08-01T00:00:00"/>
    <s v="Islam"/>
    <s v="F"/>
    <s v="PEKALONGAN"/>
    <d v="1987-01-22T00:00:00"/>
    <n v="0.88"/>
    <n v="38"/>
    <x v="0"/>
    <s v="Good"/>
    <x v="2"/>
    <n v="4000000"/>
    <n v="1"/>
    <n v="0"/>
    <x v="0"/>
    <x v="4"/>
  </r>
  <r>
    <s v="N2857"/>
    <s v="Clara Prasetyo"/>
    <s v="JAKARTA"/>
    <s v="Kontrak"/>
    <d v="2022-12-21T00:00:00"/>
    <s v="Islam"/>
    <s v="F"/>
    <s v="BOGOR"/>
    <d v="2000-06-16T00:00:00"/>
    <n v="0.66"/>
    <n v="25"/>
    <x v="0"/>
    <s v="Poor"/>
    <x v="0"/>
    <n v="5000000"/>
    <n v="1"/>
    <n v="0"/>
    <x v="0"/>
    <x v="2"/>
  </r>
  <r>
    <s v="N2139"/>
    <s v="Nabila Prakasa"/>
    <s v="JAKARTA"/>
    <s v="Kontrak"/>
    <d v="2019-10-21T00:00:00"/>
    <s v="Islam"/>
    <s v="F"/>
    <s v="JAKARTA"/>
    <d v="1996-07-19T00:00:00"/>
    <n v="0.87"/>
    <n v="29"/>
    <x v="0"/>
    <s v="Good"/>
    <x v="0"/>
    <n v="5000000"/>
    <n v="1"/>
    <n v="0"/>
    <x v="0"/>
    <x v="3"/>
  </r>
  <r>
    <s v="N1568"/>
    <s v="Sutan Tirtayasa Wasita"/>
    <s v="JAKARTA"/>
    <s v="Kontrak"/>
    <d v="2016-08-01T00:00:00"/>
    <s v="Islam"/>
    <s v="F"/>
    <s v="JAKARTA"/>
    <d v="1994-12-07T00:00:00"/>
    <n v="0.82"/>
    <n v="31"/>
    <x v="0"/>
    <s v="Good"/>
    <x v="2"/>
    <n v="4000000"/>
    <n v="1"/>
    <n v="0"/>
    <x v="0"/>
    <x v="15"/>
  </r>
  <r>
    <s v="N1713"/>
    <s v="Sari Winarno"/>
    <s v="JAKARTA"/>
    <s v="Kontrak"/>
    <d v="2017-07-10T00:00:00"/>
    <s v="Islam"/>
    <s v="F"/>
    <s v="JAKARTA"/>
    <d v="1986-02-24T00:00:00"/>
    <n v="0.61"/>
    <n v="39"/>
    <x v="0"/>
    <s v="Poor"/>
    <x v="2"/>
    <n v="4000000"/>
    <n v="1"/>
    <n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A91C50-FAF6-4D84-99DA-729175FC1FF2}" name="PivotTable5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16:B24" firstHeaderRow="1" firstDataRow="1" firstDataCol="1"/>
  <pivotFields count="17">
    <pivotField showAll="0"/>
    <pivotField showAll="0"/>
    <pivotField showAll="0"/>
    <pivotField multipleItemSelectionAllowed="1" showAll="0"/>
    <pivotField numFmtId="14" showAll="0"/>
    <pivotField showAll="0"/>
    <pivotField showAll="0"/>
    <pivotField showAll="0"/>
    <pivotField numFmtId="14" showAll="0"/>
    <pivotField numFmtId="9" showAll="0"/>
    <pivotField showAll="0"/>
    <pivotField showAll="0"/>
    <pivotField showAll="0"/>
    <pivotField axis="axisRow" showAll="0">
      <items count="8">
        <item x="6"/>
        <item x="3"/>
        <item x="5"/>
        <item x="4"/>
        <item x="0"/>
        <item x="2"/>
        <item x="1"/>
        <item t="default"/>
      </items>
    </pivotField>
    <pivotField dataField="1" numFmtId="165" showAll="0"/>
    <pivotField showAll="0"/>
    <pivotField showAll="0"/>
  </pivotFields>
  <rowFields count="1">
    <field x="1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Gaji" fld="14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7CED1-4CB1-4AB9-ACF2-859C16901F01}" name="PivotTable3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8:B10" firstHeaderRow="1" firstDataRow="1" firstDataCol="1"/>
  <pivotFields count="19">
    <pivotField dataField="1" showAll="0"/>
    <pivotField showAll="0"/>
    <pivotField showAll="0"/>
    <pivotField multipleItemSelectionAllowed="1" showAll="0"/>
    <pivotField numFmtId="14" showAll="0"/>
    <pivotField showAll="0"/>
    <pivotField showAll="0"/>
    <pivotField showAll="0"/>
    <pivotField numFmtId="14" showAll="0"/>
    <pivotField numFmtId="9" showAll="0"/>
    <pivotField showAll="0"/>
    <pivotField axis="axisRow" showAll="0">
      <items count="3">
        <item h="1" x="0"/>
        <item x="1"/>
        <item t="default"/>
      </items>
    </pivotField>
    <pivotField showAll="0"/>
    <pivotField showAll="0"/>
    <pivotField numFmtId="165" showAll="0"/>
    <pivotField showAll="0"/>
    <pivotField showAll="0"/>
    <pivotField showAll="0"/>
    <pivotField showAll="0"/>
  </pivotFields>
  <rowFields count="1">
    <field x="11"/>
  </rowFields>
  <rowItems count="2">
    <i>
      <x v="1"/>
    </i>
    <i t="grand">
      <x/>
    </i>
  </rowItems>
  <colItems count="1">
    <i/>
  </colItems>
  <dataFields count="1">
    <dataField name="Count of No I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FAC8C-5810-45E2-A9F3-FB057B59CA21}" name="PivotTable7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>
  <location ref="A36:B39" firstHeaderRow="1" firstDataRow="1" firstDataCol="1"/>
  <pivotFields count="18">
    <pivotField dataField="1" showAll="0"/>
    <pivotField showAll="0"/>
    <pivotField showAll="0"/>
    <pivotField multipleItemSelectionAllowed="1" showAll="0"/>
    <pivotField numFmtId="14" showAll="0"/>
    <pivotField showAll="0"/>
    <pivotField showAll="0"/>
    <pivotField showAll="0"/>
    <pivotField numFmtId="14" showAll="0"/>
    <pivotField numFmtId="9" showAll="0"/>
    <pivotField showAll="0"/>
    <pivotField showAll="0"/>
    <pivotField showAll="0">
      <items count="3">
        <item h="1" x="0"/>
        <item x="1"/>
        <item t="default"/>
      </items>
    </pivotField>
    <pivotField showAll="0"/>
    <pivotField numFmtId="165" showAll="0"/>
    <pivotField showAll="0"/>
    <pivotField showAll="0"/>
    <pivotField axis="axisRow" showAll="0">
      <items count="3">
        <item x="1"/>
        <item x="0"/>
        <item t="default"/>
      </items>
    </pivotField>
  </pivotFields>
  <rowFields count="1">
    <field x="17"/>
  </rowFields>
  <rowItems count="3">
    <i>
      <x/>
    </i>
    <i>
      <x v="1"/>
    </i>
    <i t="grand">
      <x/>
    </i>
  </rowItems>
  <colItems count="1">
    <i/>
  </colItems>
  <dataFields count="1">
    <dataField name="Count of No ID" fld="0" subtotal="count" showDataAs="percentOfTotal" baseField="0" baseItem="0" numFmtId="9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5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10" format="6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1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1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12" format="12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022C4-52FA-418D-8EDC-B522EA9A9D5E}" name="PivotTable6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26:B34" firstHeaderRow="1" firstDataRow="1" firstDataCol="1"/>
  <pivotFields count="17">
    <pivotField showAll="0"/>
    <pivotField showAll="0"/>
    <pivotField showAll="0"/>
    <pivotField multipleItemSelectionAllowed="1" showAll="0"/>
    <pivotField numFmtId="14" showAll="0"/>
    <pivotField showAll="0"/>
    <pivotField showAll="0"/>
    <pivotField showAll="0"/>
    <pivotField numFmtId="14" showAll="0"/>
    <pivotField numFmtId="9" showAll="0"/>
    <pivotField showAll="0"/>
    <pivotField showAll="0"/>
    <pivotField showAll="0"/>
    <pivotField axis="axisRow" showAll="0">
      <items count="8">
        <item x="6"/>
        <item x="3"/>
        <item x="5"/>
        <item x="4"/>
        <item x="0"/>
        <item x="2"/>
        <item x="1"/>
        <item t="default"/>
      </items>
    </pivotField>
    <pivotField numFmtId="165" showAll="0"/>
    <pivotField showAll="0"/>
    <pivotField dataField="1" showAll="0"/>
  </pivotFields>
  <rowFields count="1">
    <field x="1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Bonus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57C23F-B5D7-4A2B-B2C3-B3A97F7860BF}" name="PivotTable1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F16:I25" firstHeaderRow="1" firstDataRow="2" firstDataCol="1"/>
  <pivotFields count="19">
    <pivotField dataField="1" showAll="0"/>
    <pivotField showAll="0"/>
    <pivotField showAll="0"/>
    <pivotField multipleItemSelectionAllowed="1" showAll="0"/>
    <pivotField numFmtId="14" showAll="0"/>
    <pivotField showAll="0"/>
    <pivotField showAll="0"/>
    <pivotField showAll="0"/>
    <pivotField numFmtId="14" showAll="0"/>
    <pivotField numFmtId="9" showAll="0"/>
    <pivotField showAll="0"/>
    <pivotField showAll="0">
      <items count="3">
        <item h="1" x="0"/>
        <item x="1"/>
        <item t="default"/>
      </items>
    </pivotField>
    <pivotField showAll="0"/>
    <pivotField axis="axisRow" showAll="0">
      <items count="8">
        <item x="6"/>
        <item x="3"/>
        <item x="5"/>
        <item x="4"/>
        <item x="0"/>
        <item x="2"/>
        <item x="1"/>
        <item t="default"/>
      </items>
    </pivotField>
    <pivotField numFmtId="165"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</pivotFields>
  <rowFields count="1">
    <field x="1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7"/>
  </colFields>
  <colItems count="3">
    <i>
      <x/>
    </i>
    <i>
      <x v="1"/>
    </i>
    <i t="grand">
      <x/>
    </i>
  </colItems>
  <dataFields count="1">
    <dataField name="Count of No ID" fld="0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7" format="4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7" format="5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364CA0-16F9-47E7-A6B8-A87650C6BA50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12:B14" firstHeaderRow="1" firstDataRow="1" firstDataCol="1"/>
  <pivotFields count="15">
    <pivotField dataField="1" showAll="0"/>
    <pivotField showAll="0"/>
    <pivotField showAll="0"/>
    <pivotField multipleItemSelectionAllowed="1" showAll="0"/>
    <pivotField numFmtId="14" showAll="0"/>
    <pivotField showAll="0"/>
    <pivotField showAll="0"/>
    <pivotField showAll="0"/>
    <pivotField numFmtId="14" showAll="0"/>
    <pivotField numFmtId="9" showAll="0"/>
    <pivotField showAll="0"/>
    <pivotField showAll="0"/>
    <pivotField axis="axisRow" showAll="0">
      <items count="3">
        <item h="1" x="0"/>
        <item x="1"/>
        <item t="default"/>
      </items>
    </pivotField>
    <pivotField showAll="0"/>
    <pivotField numFmtId="165" showAll="0"/>
  </pivotFields>
  <rowFields count="1">
    <field x="12"/>
  </rowFields>
  <rowItems count="2">
    <i>
      <x v="1"/>
    </i>
    <i t="grand">
      <x/>
    </i>
  </rowItems>
  <colItems count="1">
    <i/>
  </colItems>
  <dataFields count="1">
    <dataField name="Count of No I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58F6A3-540F-4CC9-8A89-A9D9C9F919E7}" name="PivotTable1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F1:G8" firstHeaderRow="1" firstDataRow="1" firstDataCol="1"/>
  <pivotFields count="13">
    <pivotField dataField="1" showAll="0"/>
    <pivotField showAll="0"/>
    <pivotField axis="axisRow" showAll="0" sortType="descending">
      <items count="7">
        <item x="2"/>
        <item x="4"/>
        <item x="0"/>
        <item x="3"/>
        <item x="1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multipleItemSelectionAllowed="1" showAll="0"/>
    <pivotField numFmtId="14" showAll="0"/>
    <pivotField showAll="0"/>
    <pivotField showAll="0"/>
    <pivotField showAll="0"/>
    <pivotField numFmtId="14" showAll="0"/>
    <pivotField numFmtId="9" showAll="0"/>
    <pivotField showAll="0"/>
    <pivotField showAll="0">
      <items count="3">
        <item h="1" x="0"/>
        <item x="1"/>
        <item t="default"/>
      </items>
    </pivotField>
    <pivotField showAll="0"/>
  </pivotFields>
  <rowFields count="1">
    <field x="2"/>
  </rowFields>
  <rowItems count="7">
    <i>
      <x v="2"/>
    </i>
    <i>
      <x v="4"/>
    </i>
    <i>
      <x/>
    </i>
    <i>
      <x v="5"/>
    </i>
    <i>
      <x v="3"/>
    </i>
    <i>
      <x v="1"/>
    </i>
    <i t="grand">
      <x/>
    </i>
  </rowItems>
  <colItems count="1">
    <i/>
  </colItems>
  <dataFields count="1">
    <dataField name="Count of No ID" fld="0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348FA6-7C43-41AA-B7CD-BCC0BF171A51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5" firstHeaderRow="1" firstDataRow="1" firstDataCol="1" rowPageCount="1" colPageCount="1"/>
  <pivotFields count="12">
    <pivotField dataField="1" showAll="0"/>
    <pivotField showAll="0"/>
    <pivotField axis="axisRow" showAll="0">
      <items count="7">
        <item h="1" x="2"/>
        <item h="1" x="4"/>
        <item x="0"/>
        <item h="1" x="3"/>
        <item h="1" x="1"/>
        <item h="1" x="5"/>
        <item t="default"/>
      </items>
    </pivotField>
    <pivotField axis="axisPage" multipleItemSelectionAllowed="1" showAll="0">
      <items count="3">
        <item x="1"/>
        <item h="1" x="0"/>
        <item t="default"/>
      </items>
    </pivotField>
    <pivotField numFmtId="14" showAll="0"/>
    <pivotField showAll="0"/>
    <pivotField showAll="0"/>
    <pivotField showAll="0"/>
    <pivotField numFmtId="14" showAll="0"/>
    <pivotField numFmtId="9" showAll="0"/>
    <pivotField showAll="0"/>
    <pivotField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3" hier="-1"/>
  </pageFields>
  <dataFields count="1">
    <dataField name="Count of No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7BBF84-F065-4764-883F-5B53E4046D25}" name="PivotTable8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>
  <location ref="A45:C69" firstHeaderRow="0" firstDataRow="1" firstDataCol="1"/>
  <pivotFields count="19">
    <pivotField dataField="1" showAll="0"/>
    <pivotField showAll="0"/>
    <pivotField showAll="0"/>
    <pivotField multipleItemSelectionAllowed="1" showAll="0"/>
    <pivotField numFmtId="14" showAll="0"/>
    <pivotField showAll="0"/>
    <pivotField showAll="0"/>
    <pivotField showAll="0"/>
    <pivotField numFmtId="14" showAll="0"/>
    <pivotField numFmtId="9" showAll="0"/>
    <pivotField showAll="0"/>
    <pivotField showAll="0"/>
    <pivotField showAll="0"/>
    <pivotField showAll="0"/>
    <pivotField numFmtId="165" showAll="0"/>
    <pivotField showAll="0"/>
    <pivotField showAll="0"/>
    <pivotField showAll="0">
      <items count="3">
        <item x="1"/>
        <item x="0"/>
        <item t="default"/>
      </items>
    </pivotField>
    <pivotField axis="axisRow" showAll="0" sortType="ascending">
      <items count="24">
        <item x="8"/>
        <item x="22"/>
        <item x="18"/>
        <item x="13"/>
        <item x="10"/>
        <item x="6"/>
        <item x="20"/>
        <item x="9"/>
        <item x="7"/>
        <item x="17"/>
        <item x="14"/>
        <item x="16"/>
        <item x="5"/>
        <item x="21"/>
        <item x="15"/>
        <item x="0"/>
        <item x="4"/>
        <item x="3"/>
        <item x="11"/>
        <item x="1"/>
        <item x="2"/>
        <item x="12"/>
        <item x="19"/>
        <item t="default"/>
      </items>
    </pivotField>
  </pivotFields>
  <rowFields count="1">
    <field x="18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Jumlah Karyawan Masuk" fld="0" subtotal="count" baseField="18" baseItem="0"/>
    <dataField name="Total Karyawan " fld="0" subtotal="count" showDataAs="runTotal" baseField="18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2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4BF7-630A-4EF5-83BD-5B14D9327752}">
  <sheetPr codeName="Sheet4">
    <tabColor rgb="FFFFFF00"/>
  </sheetPr>
  <dimension ref="A1:B12"/>
  <sheetViews>
    <sheetView showGridLines="0" topLeftCell="A15" zoomScale="80" zoomScaleNormal="80" workbookViewId="0">
      <selection activeCell="A11" sqref="A11"/>
    </sheetView>
  </sheetViews>
  <sheetFormatPr defaultRowHeight="14.5" x14ac:dyDescent="0.35"/>
  <cols>
    <col min="1" max="1" width="134.54296875" customWidth="1"/>
  </cols>
  <sheetData>
    <row r="1" spans="1:2" x14ac:dyDescent="0.35">
      <c r="A1" t="s">
        <v>340</v>
      </c>
    </row>
    <row r="3" spans="1:2" x14ac:dyDescent="0.35">
      <c r="A3" t="s">
        <v>352</v>
      </c>
    </row>
    <row r="4" spans="1:2" x14ac:dyDescent="0.35">
      <c r="A4" t="s">
        <v>358</v>
      </c>
    </row>
    <row r="5" spans="1:2" x14ac:dyDescent="0.35">
      <c r="A5" t="s">
        <v>371</v>
      </c>
    </row>
    <row r="6" spans="1:2" x14ac:dyDescent="0.35">
      <c r="A6" t="s">
        <v>370</v>
      </c>
    </row>
    <row r="7" spans="1:2" x14ac:dyDescent="0.35">
      <c r="A7" t="s">
        <v>369</v>
      </c>
      <c r="B7" t="s">
        <v>368</v>
      </c>
    </row>
    <row r="8" spans="1:2" x14ac:dyDescent="0.35">
      <c r="A8" t="s">
        <v>343</v>
      </c>
    </row>
    <row r="9" spans="1:2" x14ac:dyDescent="0.35">
      <c r="A9" t="s">
        <v>345</v>
      </c>
    </row>
    <row r="10" spans="1:2" x14ac:dyDescent="0.35">
      <c r="A10" t="s">
        <v>346</v>
      </c>
    </row>
    <row r="11" spans="1:2" x14ac:dyDescent="0.35">
      <c r="A11" t="s">
        <v>347</v>
      </c>
    </row>
    <row r="12" spans="1:2" x14ac:dyDescent="0.35">
      <c r="A12" t="s">
        <v>348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22C55-AA54-467F-B66D-28A08FC8FFAD}">
  <sheetPr codeName="Sheet8">
    <tabColor theme="1"/>
  </sheetPr>
  <dimension ref="A1:I69"/>
  <sheetViews>
    <sheetView topLeftCell="A16" zoomScale="66" workbookViewId="0">
      <selection activeCell="K39" sqref="K39"/>
    </sheetView>
  </sheetViews>
  <sheetFormatPr defaultRowHeight="14.5" x14ac:dyDescent="0.35"/>
  <cols>
    <col min="1" max="1" width="12.36328125" bestFit="1" customWidth="1"/>
    <col min="2" max="2" width="13.26953125" bestFit="1" customWidth="1"/>
    <col min="3" max="3" width="14.36328125" bestFit="1" customWidth="1"/>
    <col min="6" max="6" width="15.36328125" bestFit="1" customWidth="1"/>
    <col min="7" max="7" width="15.26953125" bestFit="1" customWidth="1"/>
    <col min="8" max="8" width="10.54296875" bestFit="1" customWidth="1"/>
    <col min="9" max="9" width="10.7265625" bestFit="1" customWidth="1"/>
  </cols>
  <sheetData>
    <row r="1" spans="1:7" x14ac:dyDescent="0.35">
      <c r="A1" s="15" t="s">
        <v>4</v>
      </c>
      <c r="B1" t="s">
        <v>27</v>
      </c>
      <c r="C1" s="17" t="s">
        <v>353</v>
      </c>
      <c r="F1" s="15" t="s">
        <v>350</v>
      </c>
      <c r="G1" t="s">
        <v>349</v>
      </c>
    </row>
    <row r="2" spans="1:7" x14ac:dyDescent="0.35">
      <c r="F2" s="16" t="s">
        <v>14</v>
      </c>
      <c r="G2">
        <v>109</v>
      </c>
    </row>
    <row r="3" spans="1:7" x14ac:dyDescent="0.35">
      <c r="A3" s="15" t="s">
        <v>350</v>
      </c>
      <c r="B3" t="s">
        <v>349</v>
      </c>
      <c r="F3" s="16" t="s">
        <v>63</v>
      </c>
      <c r="G3">
        <v>4</v>
      </c>
    </row>
    <row r="4" spans="1:7" x14ac:dyDescent="0.35">
      <c r="A4" s="16" t="s">
        <v>14</v>
      </c>
      <c r="B4">
        <v>75</v>
      </c>
      <c r="F4" s="16" t="s">
        <v>24</v>
      </c>
      <c r="G4">
        <v>4</v>
      </c>
    </row>
    <row r="5" spans="1:7" x14ac:dyDescent="0.35">
      <c r="A5" s="16" t="s">
        <v>351</v>
      </c>
      <c r="B5">
        <v>75</v>
      </c>
      <c r="F5" s="16" t="s">
        <v>274</v>
      </c>
      <c r="G5">
        <v>3</v>
      </c>
    </row>
    <row r="6" spans="1:7" x14ac:dyDescent="0.35">
      <c r="F6" s="16" t="s">
        <v>127</v>
      </c>
      <c r="G6">
        <v>2</v>
      </c>
    </row>
    <row r="7" spans="1:7" x14ac:dyDescent="0.35">
      <c r="F7" s="16" t="s">
        <v>142</v>
      </c>
      <c r="G7">
        <v>1</v>
      </c>
    </row>
    <row r="8" spans="1:7" x14ac:dyDescent="0.35">
      <c r="A8" s="15" t="s">
        <v>350</v>
      </c>
      <c r="B8" t="s">
        <v>349</v>
      </c>
      <c r="C8" s="17" t="s">
        <v>356</v>
      </c>
      <c r="F8" s="16" t="s">
        <v>351</v>
      </c>
      <c r="G8">
        <v>123</v>
      </c>
    </row>
    <row r="9" spans="1:7" x14ac:dyDescent="0.35">
      <c r="A9" s="16" t="s">
        <v>357</v>
      </c>
      <c r="B9">
        <v>7</v>
      </c>
    </row>
    <row r="10" spans="1:7" x14ac:dyDescent="0.35">
      <c r="A10" s="16" t="s">
        <v>351</v>
      </c>
      <c r="B10">
        <v>7</v>
      </c>
    </row>
    <row r="12" spans="1:7" x14ac:dyDescent="0.35">
      <c r="A12" s="15" t="s">
        <v>350</v>
      </c>
      <c r="B12" t="s">
        <v>349</v>
      </c>
      <c r="C12" s="17" t="s">
        <v>361</v>
      </c>
    </row>
    <row r="13" spans="1:7" x14ac:dyDescent="0.35">
      <c r="A13" s="16" t="s">
        <v>360</v>
      </c>
      <c r="B13">
        <v>32</v>
      </c>
    </row>
    <row r="14" spans="1:7" x14ac:dyDescent="0.35">
      <c r="A14" s="16" t="s">
        <v>351</v>
      </c>
      <c r="B14">
        <v>32</v>
      </c>
    </row>
    <row r="16" spans="1:7" x14ac:dyDescent="0.35">
      <c r="A16" s="15" t="s">
        <v>350</v>
      </c>
      <c r="B16" t="s">
        <v>363</v>
      </c>
      <c r="C16" s="17" t="s">
        <v>362</v>
      </c>
      <c r="F16" s="15" t="s">
        <v>349</v>
      </c>
      <c r="G16" s="15" t="s">
        <v>378</v>
      </c>
    </row>
    <row r="17" spans="1:9" x14ac:dyDescent="0.35">
      <c r="A17" s="16" t="s">
        <v>132</v>
      </c>
      <c r="B17" s="20">
        <v>3.7523452157598502E-2</v>
      </c>
      <c r="F17" s="15" t="s">
        <v>350</v>
      </c>
      <c r="G17" t="s">
        <v>334</v>
      </c>
      <c r="H17" t="s">
        <v>19</v>
      </c>
      <c r="I17" t="s">
        <v>351</v>
      </c>
    </row>
    <row r="18" spans="1:9" x14ac:dyDescent="0.35">
      <c r="A18" s="16" t="s">
        <v>36</v>
      </c>
      <c r="B18" s="20">
        <v>0.25797373358348968</v>
      </c>
      <c r="F18" s="16" t="s">
        <v>132</v>
      </c>
      <c r="G18">
        <v>1</v>
      </c>
      <c r="I18">
        <v>1</v>
      </c>
    </row>
    <row r="19" spans="1:9" x14ac:dyDescent="0.35">
      <c r="A19" s="16" t="s">
        <v>77</v>
      </c>
      <c r="B19" s="20">
        <v>6.7542213883677302E-2</v>
      </c>
      <c r="F19" s="16" t="s">
        <v>36</v>
      </c>
      <c r="G19">
        <v>9</v>
      </c>
      <c r="H19">
        <v>2</v>
      </c>
      <c r="I19">
        <v>11</v>
      </c>
    </row>
    <row r="20" spans="1:9" x14ac:dyDescent="0.35">
      <c r="A20" s="16" t="s">
        <v>42</v>
      </c>
      <c r="B20" s="20">
        <v>0.16885553470919323</v>
      </c>
      <c r="F20" s="16" t="s">
        <v>77</v>
      </c>
      <c r="G20">
        <v>4</v>
      </c>
      <c r="H20">
        <v>2</v>
      </c>
      <c r="I20">
        <v>6</v>
      </c>
    </row>
    <row r="21" spans="1:9" x14ac:dyDescent="0.35">
      <c r="A21" s="16" t="s">
        <v>16</v>
      </c>
      <c r="B21" s="20">
        <v>0.16416510318949343</v>
      </c>
      <c r="F21" s="16" t="s">
        <v>42</v>
      </c>
      <c r="G21">
        <v>6</v>
      </c>
      <c r="H21">
        <v>4</v>
      </c>
      <c r="I21">
        <v>10</v>
      </c>
    </row>
    <row r="22" spans="1:9" x14ac:dyDescent="0.35">
      <c r="A22" s="16" t="s">
        <v>32</v>
      </c>
      <c r="B22" s="20">
        <v>0.1200750469043152</v>
      </c>
      <c r="F22" s="16" t="s">
        <v>16</v>
      </c>
      <c r="G22">
        <v>15</v>
      </c>
      <c r="H22">
        <v>20</v>
      </c>
      <c r="I22">
        <v>35</v>
      </c>
    </row>
    <row r="23" spans="1:9" x14ac:dyDescent="0.35">
      <c r="A23" s="16" t="s">
        <v>28</v>
      </c>
      <c r="B23" s="20">
        <v>0.18386491557223264</v>
      </c>
      <c r="F23" s="16" t="s">
        <v>32</v>
      </c>
      <c r="G23">
        <v>21</v>
      </c>
      <c r="H23">
        <v>11</v>
      </c>
      <c r="I23">
        <v>32</v>
      </c>
    </row>
    <row r="24" spans="1:9" x14ac:dyDescent="0.35">
      <c r="A24" s="16" t="s">
        <v>351</v>
      </c>
      <c r="B24" s="20">
        <v>1</v>
      </c>
      <c r="F24" s="16" t="s">
        <v>28</v>
      </c>
      <c r="G24">
        <v>11</v>
      </c>
      <c r="H24">
        <v>17</v>
      </c>
      <c r="I24">
        <v>28</v>
      </c>
    </row>
    <row r="25" spans="1:9" x14ac:dyDescent="0.35">
      <c r="F25" s="16" t="s">
        <v>351</v>
      </c>
      <c r="G25">
        <v>67</v>
      </c>
      <c r="H25">
        <v>56</v>
      </c>
      <c r="I25">
        <v>123</v>
      </c>
    </row>
    <row r="26" spans="1:9" x14ac:dyDescent="0.35">
      <c r="A26" s="15" t="s">
        <v>350</v>
      </c>
      <c r="B26" t="s">
        <v>366</v>
      </c>
      <c r="C26" s="17" t="s">
        <v>367</v>
      </c>
    </row>
    <row r="27" spans="1:9" x14ac:dyDescent="0.35">
      <c r="A27" s="16" t="s">
        <v>132</v>
      </c>
      <c r="B27">
        <v>0</v>
      </c>
    </row>
    <row r="28" spans="1:9" x14ac:dyDescent="0.35">
      <c r="A28" s="16" t="s">
        <v>36</v>
      </c>
      <c r="B28">
        <v>0</v>
      </c>
    </row>
    <row r="29" spans="1:9" x14ac:dyDescent="0.35">
      <c r="A29" s="16" t="s">
        <v>77</v>
      </c>
      <c r="B29">
        <v>0</v>
      </c>
    </row>
    <row r="30" spans="1:9" x14ac:dyDescent="0.35">
      <c r="A30" s="16" t="s">
        <v>42</v>
      </c>
      <c r="B30">
        <v>108000000</v>
      </c>
    </row>
    <row r="31" spans="1:9" x14ac:dyDescent="0.35">
      <c r="A31" s="16" t="s">
        <v>16</v>
      </c>
      <c r="B31">
        <v>40000000</v>
      </c>
    </row>
    <row r="32" spans="1:9" x14ac:dyDescent="0.35">
      <c r="A32" s="16" t="s">
        <v>32</v>
      </c>
      <c r="B32">
        <v>4000000</v>
      </c>
    </row>
    <row r="33" spans="1:5" x14ac:dyDescent="0.35">
      <c r="A33" s="16" t="s">
        <v>28</v>
      </c>
      <c r="B33">
        <v>49000000</v>
      </c>
    </row>
    <row r="34" spans="1:5" x14ac:dyDescent="0.35">
      <c r="A34" s="16" t="s">
        <v>351</v>
      </c>
      <c r="B34">
        <v>201000000</v>
      </c>
    </row>
    <row r="36" spans="1:5" x14ac:dyDescent="0.35">
      <c r="A36" s="15" t="s">
        <v>350</v>
      </c>
      <c r="B36" t="s">
        <v>349</v>
      </c>
      <c r="C36" s="17" t="s">
        <v>373</v>
      </c>
    </row>
    <row r="37" spans="1:5" x14ac:dyDescent="0.35">
      <c r="A37" s="16" t="s">
        <v>334</v>
      </c>
      <c r="B37" s="6">
        <v>0.54471544715447151</v>
      </c>
    </row>
    <row r="38" spans="1:5" x14ac:dyDescent="0.35">
      <c r="A38" s="16" t="s">
        <v>19</v>
      </c>
      <c r="B38" s="6">
        <v>0.45528455284552843</v>
      </c>
    </row>
    <row r="39" spans="1:5" x14ac:dyDescent="0.35">
      <c r="A39" s="16" t="s">
        <v>351</v>
      </c>
      <c r="B39" s="6">
        <v>1</v>
      </c>
    </row>
    <row r="45" spans="1:5" x14ac:dyDescent="0.35">
      <c r="A45" s="15" t="s">
        <v>350</v>
      </c>
      <c r="B45" t="s">
        <v>376</v>
      </c>
      <c r="C45" t="s">
        <v>377</v>
      </c>
      <c r="E45" t="s">
        <v>375</v>
      </c>
    </row>
    <row r="46" spans="1:5" x14ac:dyDescent="0.35">
      <c r="A46" s="16">
        <v>2000</v>
      </c>
      <c r="B46">
        <v>4</v>
      </c>
      <c r="C46">
        <v>4</v>
      </c>
    </row>
    <row r="47" spans="1:5" x14ac:dyDescent="0.35">
      <c r="A47" s="16">
        <v>2002</v>
      </c>
      <c r="B47">
        <v>1</v>
      </c>
      <c r="C47">
        <v>5</v>
      </c>
    </row>
    <row r="48" spans="1:5" x14ac:dyDescent="0.35">
      <c r="A48" s="16">
        <v>2004</v>
      </c>
      <c r="B48">
        <v>2</v>
      </c>
      <c r="C48">
        <v>7</v>
      </c>
    </row>
    <row r="49" spans="1:3" x14ac:dyDescent="0.35">
      <c r="A49" s="16">
        <v>2005</v>
      </c>
      <c r="B49">
        <v>1</v>
      </c>
      <c r="C49">
        <v>8</v>
      </c>
    </row>
    <row r="50" spans="1:3" x14ac:dyDescent="0.35">
      <c r="A50" s="16">
        <v>2006</v>
      </c>
      <c r="B50">
        <v>5</v>
      </c>
      <c r="C50">
        <v>13</v>
      </c>
    </row>
    <row r="51" spans="1:3" x14ac:dyDescent="0.35">
      <c r="A51" s="16">
        <v>2007</v>
      </c>
      <c r="B51">
        <v>2</v>
      </c>
      <c r="C51">
        <v>15</v>
      </c>
    </row>
    <row r="52" spans="1:3" x14ac:dyDescent="0.35">
      <c r="A52" s="16">
        <v>2008</v>
      </c>
      <c r="B52">
        <v>3</v>
      </c>
      <c r="C52">
        <v>18</v>
      </c>
    </row>
    <row r="53" spans="1:3" x14ac:dyDescent="0.35">
      <c r="A53" s="16">
        <v>2009</v>
      </c>
      <c r="B53">
        <v>1</v>
      </c>
      <c r="C53">
        <v>19</v>
      </c>
    </row>
    <row r="54" spans="1:3" x14ac:dyDescent="0.35">
      <c r="A54" s="16">
        <v>2010</v>
      </c>
      <c r="B54">
        <v>4</v>
      </c>
      <c r="C54">
        <v>23</v>
      </c>
    </row>
    <row r="55" spans="1:3" x14ac:dyDescent="0.35">
      <c r="A55" s="16">
        <v>2011</v>
      </c>
      <c r="B55">
        <v>1</v>
      </c>
      <c r="C55">
        <v>24</v>
      </c>
    </row>
    <row r="56" spans="1:3" x14ac:dyDescent="0.35">
      <c r="A56" s="16">
        <v>2012</v>
      </c>
      <c r="B56">
        <v>3</v>
      </c>
      <c r="C56">
        <v>27</v>
      </c>
    </row>
    <row r="57" spans="1:3" x14ac:dyDescent="0.35">
      <c r="A57" s="16">
        <v>2013</v>
      </c>
      <c r="B57">
        <v>2</v>
      </c>
      <c r="C57">
        <v>29</v>
      </c>
    </row>
    <row r="58" spans="1:3" x14ac:dyDescent="0.35">
      <c r="A58" s="16">
        <v>2014</v>
      </c>
      <c r="B58">
        <v>4</v>
      </c>
      <c r="C58">
        <v>33</v>
      </c>
    </row>
    <row r="59" spans="1:3" x14ac:dyDescent="0.35">
      <c r="A59" s="16">
        <v>2015</v>
      </c>
      <c r="B59">
        <v>2</v>
      </c>
      <c r="C59">
        <v>35</v>
      </c>
    </row>
    <row r="60" spans="1:3" x14ac:dyDescent="0.35">
      <c r="A60" s="16">
        <v>2016</v>
      </c>
      <c r="B60">
        <v>13</v>
      </c>
      <c r="C60">
        <v>48</v>
      </c>
    </row>
    <row r="61" spans="1:3" x14ac:dyDescent="0.35">
      <c r="A61" s="16">
        <v>2017</v>
      </c>
      <c r="B61">
        <v>13</v>
      </c>
      <c r="C61">
        <v>61</v>
      </c>
    </row>
    <row r="62" spans="1:3" x14ac:dyDescent="0.35">
      <c r="A62" s="16">
        <v>2018</v>
      </c>
      <c r="B62">
        <v>17</v>
      </c>
      <c r="C62">
        <v>78</v>
      </c>
    </row>
    <row r="63" spans="1:3" x14ac:dyDescent="0.35">
      <c r="A63" s="16">
        <v>2019</v>
      </c>
      <c r="B63">
        <v>12</v>
      </c>
      <c r="C63">
        <v>90</v>
      </c>
    </row>
    <row r="64" spans="1:3" x14ac:dyDescent="0.35">
      <c r="A64" s="16">
        <v>2020</v>
      </c>
      <c r="B64">
        <v>6</v>
      </c>
      <c r="C64">
        <v>96</v>
      </c>
    </row>
    <row r="65" spans="1:3" x14ac:dyDescent="0.35">
      <c r="A65" s="16">
        <v>2021</v>
      </c>
      <c r="B65">
        <v>5</v>
      </c>
      <c r="C65">
        <v>101</v>
      </c>
    </row>
    <row r="66" spans="1:3" x14ac:dyDescent="0.35">
      <c r="A66" s="16">
        <v>2022</v>
      </c>
      <c r="B66">
        <v>14</v>
      </c>
      <c r="C66">
        <v>115</v>
      </c>
    </row>
    <row r="67" spans="1:3" x14ac:dyDescent="0.35">
      <c r="A67" s="16">
        <v>2023</v>
      </c>
      <c r="B67">
        <v>4</v>
      </c>
      <c r="C67">
        <v>119</v>
      </c>
    </row>
    <row r="68" spans="1:3" x14ac:dyDescent="0.35">
      <c r="A68" s="16">
        <v>2024</v>
      </c>
      <c r="B68">
        <v>4</v>
      </c>
      <c r="C68">
        <v>123</v>
      </c>
    </row>
    <row r="69" spans="1:3" x14ac:dyDescent="0.35">
      <c r="A69" s="16" t="s">
        <v>351</v>
      </c>
      <c r="B69">
        <v>123</v>
      </c>
    </row>
  </sheetData>
  <pageMargins left="0.7" right="0.7" top="0.75" bottom="0.75" header="0.3" footer="0.3"/>
  <drawing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98EBC-3070-4AED-A5D0-27540F794071}">
  <sheetPr codeName="Sheet2">
    <tabColor theme="1"/>
  </sheetPr>
  <dimension ref="A1:H40"/>
  <sheetViews>
    <sheetView tabSelected="1" topLeftCell="B2" zoomScale="80" zoomScaleNormal="80" workbookViewId="0">
      <selection activeCell="H10" sqref="H10"/>
    </sheetView>
  </sheetViews>
  <sheetFormatPr defaultColWidth="0" defaultRowHeight="15.5" customHeight="1" zeroHeight="1" x14ac:dyDescent="0.35"/>
  <cols>
    <col min="1" max="1" width="31.26953125" style="4" customWidth="1"/>
    <col min="2" max="2" width="3.6328125" style="1" customWidth="1"/>
    <col min="3" max="3" width="17.26953125" style="1" customWidth="1"/>
    <col min="4" max="4" width="34.90625" style="1" customWidth="1"/>
    <col min="5" max="5" width="3.6328125" style="1" customWidth="1"/>
    <col min="6" max="6" width="79.453125" style="1" customWidth="1"/>
    <col min="7" max="7" width="3.81640625" style="1" customWidth="1"/>
    <col min="8" max="8" width="41.08984375" style="1" customWidth="1"/>
    <col min="9" max="11" width="11.6328125" style="1" hidden="1" customWidth="1"/>
    <col min="12" max="16384" width="11.6328125" style="1" hidden="1"/>
  </cols>
  <sheetData>
    <row r="1" spans="1:8" ht="117" customHeight="1" x14ac:dyDescent="0.35">
      <c r="A1" s="9"/>
      <c r="B1" s="8"/>
      <c r="C1" s="8"/>
      <c r="D1" s="8"/>
      <c r="E1" s="8"/>
      <c r="F1" s="8"/>
      <c r="G1" s="8"/>
      <c r="H1" s="8"/>
    </row>
    <row r="2" spans="1:8" x14ac:dyDescent="0.35">
      <c r="A2" s="8"/>
    </row>
    <row r="3" spans="1:8" ht="14" customHeight="1" x14ac:dyDescent="0.35">
      <c r="A3" s="8"/>
    </row>
    <row r="4" spans="1:8" ht="35" customHeight="1" x14ac:dyDescent="0.35">
      <c r="A4" s="8"/>
      <c r="C4" s="10" t="s">
        <v>0</v>
      </c>
      <c r="D4" s="10"/>
    </row>
    <row r="5" spans="1:8" ht="25" customHeight="1" x14ac:dyDescent="0.35">
      <c r="A5" s="8"/>
      <c r="C5" s="2"/>
    </row>
    <row r="6" spans="1:8" ht="20" customHeight="1" x14ac:dyDescent="0.35">
      <c r="A6" s="8"/>
      <c r="C6" s="11" t="s">
        <v>341</v>
      </c>
      <c r="D6" s="3" t="s">
        <v>13</v>
      </c>
    </row>
    <row r="7" spans="1:8" ht="10" customHeight="1" x14ac:dyDescent="0.35">
      <c r="A7" s="8"/>
      <c r="C7" s="2"/>
    </row>
    <row r="8" spans="1:8" ht="20" customHeight="1" x14ac:dyDescent="0.35">
      <c r="A8" s="8"/>
      <c r="C8" s="11" t="s">
        <v>1</v>
      </c>
      <c r="D8" s="3" t="s">
        <v>14</v>
      </c>
    </row>
    <row r="9" spans="1:8" ht="10" customHeight="1" x14ac:dyDescent="0.35">
      <c r="A9" s="8"/>
      <c r="C9" s="2"/>
    </row>
    <row r="10" spans="1:8" ht="20" customHeight="1" x14ac:dyDescent="0.35">
      <c r="A10" s="8"/>
      <c r="C10" s="11" t="s">
        <v>4</v>
      </c>
      <c r="D10" s="3" t="s">
        <v>15</v>
      </c>
    </row>
    <row r="11" spans="1:8" x14ac:dyDescent="0.35">
      <c r="A11" s="8"/>
    </row>
    <row r="12" spans="1:8" x14ac:dyDescent="0.35">
      <c r="A12" s="8"/>
    </row>
    <row r="13" spans="1:8" ht="210" customHeight="1" x14ac:dyDescent="0.35">
      <c r="A13" s="8"/>
    </row>
    <row r="14" spans="1:8" x14ac:dyDescent="0.35">
      <c r="A14" s="8"/>
    </row>
    <row r="15" spans="1:8" ht="210" customHeight="1" x14ac:dyDescent="0.35">
      <c r="A15" s="8"/>
    </row>
    <row r="16" spans="1:8" x14ac:dyDescent="0.35">
      <c r="A16" s="8"/>
    </row>
    <row r="17" spans="1:1" x14ac:dyDescent="0.35">
      <c r="A17" s="8"/>
    </row>
    <row r="18" spans="1:1" x14ac:dyDescent="0.35">
      <c r="A18" s="8"/>
    </row>
    <row r="19" spans="1:1" x14ac:dyDescent="0.35">
      <c r="A19" s="8"/>
    </row>
    <row r="20" spans="1:1" x14ac:dyDescent="0.35">
      <c r="A20" s="8"/>
    </row>
    <row r="21" spans="1:1" x14ac:dyDescent="0.35">
      <c r="A21" s="8"/>
    </row>
    <row r="22" spans="1:1" x14ac:dyDescent="0.35">
      <c r="A22" s="8"/>
    </row>
    <row r="23" spans="1:1" x14ac:dyDescent="0.35">
      <c r="A23" s="8"/>
    </row>
    <row r="24" spans="1:1" x14ac:dyDescent="0.35">
      <c r="A24" s="8"/>
    </row>
    <row r="25" spans="1:1" x14ac:dyDescent="0.35">
      <c r="A25" s="8"/>
    </row>
    <row r="26" spans="1:1" x14ac:dyDescent="0.35">
      <c r="A26" s="8"/>
    </row>
    <row r="27" spans="1:1" x14ac:dyDescent="0.35">
      <c r="A27" s="8"/>
    </row>
    <row r="28" spans="1:1" x14ac:dyDescent="0.35">
      <c r="A28" s="8"/>
    </row>
    <row r="29" spans="1:1" x14ac:dyDescent="0.35">
      <c r="A29" s="8"/>
    </row>
    <row r="30" spans="1:1" x14ac:dyDescent="0.35">
      <c r="A30" s="8"/>
    </row>
    <row r="31" spans="1:1" x14ac:dyDescent="0.35">
      <c r="A31" s="8"/>
    </row>
    <row r="32" spans="1:1" x14ac:dyDescent="0.35">
      <c r="A32" s="8"/>
    </row>
    <row r="33" spans="1:1" x14ac:dyDescent="0.35">
      <c r="A33" s="8"/>
    </row>
    <row r="34" spans="1:1" x14ac:dyDescent="0.35">
      <c r="A34" s="8"/>
    </row>
    <row r="35" spans="1:1" x14ac:dyDescent="0.35">
      <c r="A35" s="8"/>
    </row>
    <row r="36" spans="1:1" x14ac:dyDescent="0.35">
      <c r="A36" s="8"/>
    </row>
    <row r="37" spans="1:1" x14ac:dyDescent="0.35">
      <c r="A37" s="8"/>
    </row>
    <row r="38" spans="1:1" x14ac:dyDescent="0.35">
      <c r="A38" s="8"/>
    </row>
    <row r="39" spans="1:1" x14ac:dyDescent="0.35">
      <c r="A39" s="8"/>
    </row>
    <row r="40" spans="1:1" x14ac:dyDescent="0.35">
      <c r="A40" s="8"/>
    </row>
  </sheetData>
  <dataValidations count="1">
    <dataValidation type="list" allowBlank="1" showInputMessage="1" showErrorMessage="1" sqref="D6" xr:uid="{67D8494D-2C07-4055-AF32-6A457E2239AA}">
      <formula1>NamaKaryawan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49DB9D2-45C2-4C25-8607-FA0C9294B5A5}">
          <x14:formula1>
            <xm:f>'Data Karyawan'!$C$79:$C$124</xm:f>
          </x14:formula1>
          <xm:sqref>D8</xm:sqref>
        </x14:dataValidation>
        <x14:dataValidation type="list" allowBlank="1" showInputMessage="1" showErrorMessage="1" xr:uid="{0E3C341C-DC83-49C1-8084-851E831DA93C}">
          <x14:formula1>
            <xm:f>'Data Karyawan'!$D$2:$D$124</xm:f>
          </x14:formula1>
          <xm:sqref>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8BEA2-3DDE-431B-B6AE-7C50AF3D61DF}">
  <sheetPr codeName="Sheet1">
    <tabColor theme="1"/>
  </sheetPr>
  <dimension ref="A1:S136"/>
  <sheetViews>
    <sheetView zoomScale="58" zoomScaleNormal="80" workbookViewId="0">
      <pane ySplit="1" topLeftCell="A79" activePane="bottomLeft" state="frozen"/>
      <selection activeCell="G5" sqref="G5"/>
      <selection pane="bottomLeft" activeCell="C80" sqref="C80"/>
    </sheetView>
  </sheetViews>
  <sheetFormatPr defaultRowHeight="14.5" x14ac:dyDescent="0.35"/>
  <cols>
    <col min="1" max="1" width="6.08984375" style="5" bestFit="1" customWidth="1"/>
    <col min="2" max="2" width="19.90625" style="5" bestFit="1" customWidth="1"/>
    <col min="3" max="3" width="9.7265625" style="5" bestFit="1" customWidth="1"/>
    <col min="4" max="4" width="14.26953125" style="5" bestFit="1" customWidth="1"/>
    <col min="5" max="5" width="12.36328125" style="5" bestFit="1" customWidth="1"/>
    <col min="6" max="6" width="6.54296875" style="5" bestFit="1" customWidth="1"/>
    <col min="7" max="7" width="12" style="5" bestFit="1" customWidth="1"/>
    <col min="8" max="8" width="16.26953125" style="5" bestFit="1" customWidth="1"/>
    <col min="9" max="9" width="11.81640625" style="5" bestFit="1" customWidth="1"/>
    <col min="10" max="10" width="14.90625" style="5" bestFit="1" customWidth="1"/>
    <col min="11" max="11" width="9.36328125" style="5" bestFit="1" customWidth="1"/>
    <col min="12" max="12" width="12.36328125" style="5" bestFit="1" customWidth="1"/>
    <col min="13" max="13" width="11.1796875" style="5" bestFit="1" customWidth="1"/>
    <col min="14" max="14" width="15.36328125" style="5" bestFit="1" customWidth="1"/>
    <col min="15" max="15" width="12" style="5" bestFit="1" customWidth="1"/>
    <col min="16" max="16" width="13" style="5" bestFit="1" customWidth="1"/>
    <col min="17" max="17" width="20.90625" style="5" customWidth="1"/>
    <col min="18" max="18" width="13" style="5" bestFit="1" customWidth="1"/>
    <col min="19" max="19" width="12.6328125" style="5" bestFit="1" customWidth="1"/>
    <col min="20" max="16384" width="8.7265625" style="5"/>
  </cols>
  <sheetData>
    <row r="1" spans="1:19" x14ac:dyDescent="0.35">
      <c r="A1" s="21" t="s">
        <v>2</v>
      </c>
      <c r="B1" s="21" t="s">
        <v>3</v>
      </c>
      <c r="C1" s="21" t="s">
        <v>1</v>
      </c>
      <c r="D1" s="21" t="s">
        <v>4</v>
      </c>
      <c r="E1" s="21" t="s">
        <v>5</v>
      </c>
      <c r="F1" s="21" t="s">
        <v>8</v>
      </c>
      <c r="G1" s="21" t="s">
        <v>9</v>
      </c>
      <c r="H1" s="21" t="s">
        <v>10</v>
      </c>
      <c r="I1" s="21" t="s">
        <v>11</v>
      </c>
      <c r="J1" s="21" t="s">
        <v>326</v>
      </c>
      <c r="K1" s="25" t="s">
        <v>354</v>
      </c>
      <c r="L1" s="25" t="s">
        <v>355</v>
      </c>
      <c r="M1" s="25" t="s">
        <v>359</v>
      </c>
      <c r="N1" s="25" t="s">
        <v>6</v>
      </c>
      <c r="O1" s="25" t="s">
        <v>330</v>
      </c>
      <c r="P1" s="25" t="s">
        <v>364</v>
      </c>
      <c r="Q1" s="25" t="s">
        <v>365</v>
      </c>
      <c r="R1" s="25" t="s">
        <v>372</v>
      </c>
      <c r="S1" s="25" t="s">
        <v>374</v>
      </c>
    </row>
    <row r="2" spans="1:19" x14ac:dyDescent="0.35">
      <c r="A2" s="18" t="s">
        <v>12</v>
      </c>
      <c r="B2" s="18" t="s">
        <v>13</v>
      </c>
      <c r="C2" s="18" t="s">
        <v>14</v>
      </c>
      <c r="D2" s="18" t="s">
        <v>15</v>
      </c>
      <c r="E2" s="22">
        <v>42920</v>
      </c>
      <c r="F2" s="18" t="s">
        <v>18</v>
      </c>
      <c r="G2" s="18" t="s">
        <v>327</v>
      </c>
      <c r="H2" s="18" t="s">
        <v>20</v>
      </c>
      <c r="I2" s="23">
        <v>32089</v>
      </c>
      <c r="J2" s="24">
        <v>0.99</v>
      </c>
      <c r="K2" s="18" cm="1">
        <f t="array" ref="K2:K124">DATEDIF(I2:I124,DATE(2025,12,31),"Y")</f>
        <v>38</v>
      </c>
      <c r="L2" s="18" t="str" cm="1">
        <f t="array" ref="L2:L124">IF(K2:K124&gt;=50,"Ya","Tidak")</f>
        <v>Tidak</v>
      </c>
      <c r="M2" s="18" t="str" cm="1">
        <f t="array" ref="M2:M124">IF(J2:J124&lt;70%,"Poor","Good")</f>
        <v>Good</v>
      </c>
      <c r="N2" s="18" t="str" cm="1">
        <f t="array" ref="N2:N124">_xlfn.XLOOKUP(A2:A124,'Master Position'!B:B,'Master Position'!C:C)</f>
        <v>Senior Staff</v>
      </c>
      <c r="O2" s="19" cm="1">
        <f t="array" ref="O2:O124">_xlfn.XLOOKUP(N2:N124,'Master Salary'!B:B,'Master Salary'!C:C)</f>
        <v>5000000</v>
      </c>
      <c r="P2" s="18" cm="1">
        <f t="array" ref="P2:P124">_xlfn.XLOOKUP(N2:N124,'Master Bonus'!A:A,'Master Bonus'!B:B)</f>
        <v>1</v>
      </c>
      <c r="Q2" s="18" cm="1">
        <f t="array" ref="Q2:Q124">IF(J2:J124&gt;90%,O2:O124*P2:P124,0)</f>
        <v>5000000</v>
      </c>
      <c r="R2" s="18" t="str" cm="1">
        <f t="array" ref="R2:R124">_xlfn.XLOOKUP(G2:G124,'Master Gender'!B:B,'Master Gender'!A:A)</f>
        <v>Perempuan</v>
      </c>
      <c r="S2" s="18" cm="1">
        <f t="array" ref="S2:S124">YEAR(E2:E124)</f>
        <v>2017</v>
      </c>
    </row>
    <row r="3" spans="1:19" x14ac:dyDescent="0.35">
      <c r="A3" s="18" t="s">
        <v>21</v>
      </c>
      <c r="B3" s="18" t="s">
        <v>22</v>
      </c>
      <c r="C3" s="18" t="s">
        <v>14</v>
      </c>
      <c r="D3" s="18" t="s">
        <v>15</v>
      </c>
      <c r="E3" s="22">
        <v>44417</v>
      </c>
      <c r="F3" s="18" t="s">
        <v>23</v>
      </c>
      <c r="G3" s="18" t="s">
        <v>327</v>
      </c>
      <c r="H3" s="18" t="s">
        <v>24</v>
      </c>
      <c r="I3" s="23">
        <v>33712</v>
      </c>
      <c r="J3" s="24">
        <v>0.77</v>
      </c>
      <c r="K3" s="18">
        <v>33</v>
      </c>
      <c r="L3" s="18" t="str">
        <v>Tidak</v>
      </c>
      <c r="M3" s="18" t="str">
        <v>Good</v>
      </c>
      <c r="N3" s="18" t="str">
        <v>Senior Staff</v>
      </c>
      <c r="O3" s="19">
        <v>5000000</v>
      </c>
      <c r="P3" s="18">
        <v>1</v>
      </c>
      <c r="Q3" s="18">
        <v>0</v>
      </c>
      <c r="R3" s="18" t="str">
        <v>Perempuan</v>
      </c>
      <c r="S3" s="18">
        <v>2021</v>
      </c>
    </row>
    <row r="4" spans="1:19" x14ac:dyDescent="0.35">
      <c r="A4" s="18" t="s">
        <v>25</v>
      </c>
      <c r="B4" s="18" t="s">
        <v>26</v>
      </c>
      <c r="C4" s="18" t="s">
        <v>14</v>
      </c>
      <c r="D4" s="18" t="s">
        <v>27</v>
      </c>
      <c r="E4" s="22">
        <v>44424</v>
      </c>
      <c r="F4" s="18" t="s">
        <v>23</v>
      </c>
      <c r="G4" s="18" t="s">
        <v>327</v>
      </c>
      <c r="H4" s="18" t="s">
        <v>29</v>
      </c>
      <c r="I4" s="23">
        <v>34768</v>
      </c>
      <c r="J4" s="24">
        <v>0.7</v>
      </c>
      <c r="K4" s="18">
        <v>30</v>
      </c>
      <c r="L4" s="18" t="str">
        <v>Tidak</v>
      </c>
      <c r="M4" s="18" t="str">
        <v>Good</v>
      </c>
      <c r="N4" s="18" t="str">
        <v>Supervisor</v>
      </c>
      <c r="O4" s="19">
        <v>7000000</v>
      </c>
      <c r="P4" s="18">
        <v>1</v>
      </c>
      <c r="Q4" s="18">
        <v>0</v>
      </c>
      <c r="R4" s="18" t="str">
        <v>Perempuan</v>
      </c>
      <c r="S4" s="18">
        <v>2021</v>
      </c>
    </row>
    <row r="5" spans="1:19" x14ac:dyDescent="0.35">
      <c r="A5" s="18" t="s">
        <v>30</v>
      </c>
      <c r="B5" s="18" t="s">
        <v>31</v>
      </c>
      <c r="C5" s="18" t="s">
        <v>14</v>
      </c>
      <c r="D5" s="18" t="s">
        <v>15</v>
      </c>
      <c r="E5" s="22">
        <v>42800</v>
      </c>
      <c r="F5" s="18" t="s">
        <v>23</v>
      </c>
      <c r="G5" s="18" t="s">
        <v>327</v>
      </c>
      <c r="H5" s="18" t="s">
        <v>14</v>
      </c>
      <c r="I5" s="23">
        <v>33569</v>
      </c>
      <c r="J5" s="24">
        <v>0.6</v>
      </c>
      <c r="K5" s="18">
        <v>34</v>
      </c>
      <c r="L5" s="18" t="str">
        <v>Tidak</v>
      </c>
      <c r="M5" s="18" t="str">
        <v>Poor</v>
      </c>
      <c r="N5" s="18" t="str">
        <v>Staff</v>
      </c>
      <c r="O5" s="19">
        <v>4000000</v>
      </c>
      <c r="P5" s="18">
        <v>1</v>
      </c>
      <c r="Q5" s="18">
        <v>0</v>
      </c>
      <c r="R5" s="18" t="str">
        <v>Perempuan</v>
      </c>
      <c r="S5" s="18">
        <v>2017</v>
      </c>
    </row>
    <row r="6" spans="1:19" x14ac:dyDescent="0.35">
      <c r="A6" s="18" t="s">
        <v>34</v>
      </c>
      <c r="B6" s="18" t="s">
        <v>35</v>
      </c>
      <c r="C6" s="18" t="s">
        <v>14</v>
      </c>
      <c r="D6" s="18" t="s">
        <v>27</v>
      </c>
      <c r="E6" s="22">
        <v>44718</v>
      </c>
      <c r="F6" s="18" t="s">
        <v>18</v>
      </c>
      <c r="G6" s="18" t="s">
        <v>328</v>
      </c>
      <c r="H6" s="18" t="s">
        <v>37</v>
      </c>
      <c r="I6" s="23">
        <v>35196</v>
      </c>
      <c r="J6" s="24">
        <v>0.7</v>
      </c>
      <c r="K6" s="18">
        <v>29</v>
      </c>
      <c r="L6" s="18" t="str">
        <v>Tidak</v>
      </c>
      <c r="M6" s="18" t="str">
        <v>Good</v>
      </c>
      <c r="N6" s="18" t="str">
        <v>General Manager</v>
      </c>
      <c r="O6" s="19">
        <v>25000000</v>
      </c>
      <c r="P6" s="18">
        <v>2</v>
      </c>
      <c r="Q6" s="18">
        <v>0</v>
      </c>
      <c r="R6" s="18" t="str">
        <v>Laki-Laki</v>
      </c>
      <c r="S6" s="18">
        <v>2022</v>
      </c>
    </row>
    <row r="7" spans="1:19" x14ac:dyDescent="0.35">
      <c r="A7" s="18" t="s">
        <v>38</v>
      </c>
      <c r="B7" s="18" t="s">
        <v>39</v>
      </c>
      <c r="C7" s="18" t="s">
        <v>14</v>
      </c>
      <c r="D7" s="18" t="s">
        <v>15</v>
      </c>
      <c r="E7" s="22">
        <v>43479</v>
      </c>
      <c r="F7" s="18" t="s">
        <v>23</v>
      </c>
      <c r="G7" s="18" t="s">
        <v>328</v>
      </c>
      <c r="H7" s="18" t="s">
        <v>14</v>
      </c>
      <c r="I7" s="23">
        <v>34307</v>
      </c>
      <c r="J7" s="24">
        <v>0.67</v>
      </c>
      <c r="K7" s="18">
        <v>32</v>
      </c>
      <c r="L7" s="18" t="str">
        <v>Tidak</v>
      </c>
      <c r="M7" s="18" t="str">
        <v>Poor</v>
      </c>
      <c r="N7" s="18" t="str">
        <v>Staff</v>
      </c>
      <c r="O7" s="19">
        <v>4000000</v>
      </c>
      <c r="P7" s="18">
        <v>1</v>
      </c>
      <c r="Q7" s="18">
        <v>0</v>
      </c>
      <c r="R7" s="18" t="str">
        <v>Laki-Laki</v>
      </c>
      <c r="S7" s="18">
        <v>2019</v>
      </c>
    </row>
    <row r="8" spans="1:19" x14ac:dyDescent="0.35">
      <c r="A8" s="18" t="s">
        <v>40</v>
      </c>
      <c r="B8" s="18" t="s">
        <v>41</v>
      </c>
      <c r="C8" s="18" t="s">
        <v>14</v>
      </c>
      <c r="D8" s="18" t="s">
        <v>27</v>
      </c>
      <c r="E8" s="22">
        <v>43577</v>
      </c>
      <c r="F8" s="18" t="s">
        <v>23</v>
      </c>
      <c r="G8" s="18" t="s">
        <v>328</v>
      </c>
      <c r="H8" s="18" t="s">
        <v>43</v>
      </c>
      <c r="I8" s="23">
        <v>34600</v>
      </c>
      <c r="J8" s="24">
        <v>0.63</v>
      </c>
      <c r="K8" s="18">
        <v>31</v>
      </c>
      <c r="L8" s="18" t="str">
        <v>Tidak</v>
      </c>
      <c r="M8" s="18" t="str">
        <v>Poor</v>
      </c>
      <c r="N8" s="18" t="str">
        <v>Senior Manager</v>
      </c>
      <c r="O8" s="19">
        <v>18000000</v>
      </c>
      <c r="P8" s="18">
        <v>2</v>
      </c>
      <c r="Q8" s="18">
        <v>0</v>
      </c>
      <c r="R8" s="18" t="str">
        <v>Laki-Laki</v>
      </c>
      <c r="S8" s="18">
        <v>2019</v>
      </c>
    </row>
    <row r="9" spans="1:19" x14ac:dyDescent="0.35">
      <c r="A9" s="18" t="s">
        <v>44</v>
      </c>
      <c r="B9" s="18" t="s">
        <v>45</v>
      </c>
      <c r="C9" s="18" t="s">
        <v>14</v>
      </c>
      <c r="D9" s="18" t="s">
        <v>27</v>
      </c>
      <c r="E9" s="22">
        <v>43276</v>
      </c>
      <c r="F9" s="18" t="s">
        <v>23</v>
      </c>
      <c r="G9" s="18" t="s">
        <v>327</v>
      </c>
      <c r="H9" s="18" t="s">
        <v>46</v>
      </c>
      <c r="I9" s="23">
        <v>34317</v>
      </c>
      <c r="J9" s="24">
        <v>0.79</v>
      </c>
      <c r="K9" s="18">
        <v>32</v>
      </c>
      <c r="L9" s="18" t="str">
        <v>Tidak</v>
      </c>
      <c r="M9" s="18" t="str">
        <v>Good</v>
      </c>
      <c r="N9" s="18" t="str">
        <v>Staff</v>
      </c>
      <c r="O9" s="19">
        <v>4000000</v>
      </c>
      <c r="P9" s="18">
        <v>1</v>
      </c>
      <c r="Q9" s="18">
        <v>0</v>
      </c>
      <c r="R9" s="18" t="str">
        <v>Perempuan</v>
      </c>
      <c r="S9" s="18">
        <v>2018</v>
      </c>
    </row>
    <row r="10" spans="1:19" x14ac:dyDescent="0.35">
      <c r="A10" s="18" t="s">
        <v>47</v>
      </c>
      <c r="B10" s="18" t="s">
        <v>48</v>
      </c>
      <c r="C10" s="18" t="s">
        <v>14</v>
      </c>
      <c r="D10" s="18" t="s">
        <v>27</v>
      </c>
      <c r="E10" s="22">
        <v>43801</v>
      </c>
      <c r="F10" s="18" t="s">
        <v>23</v>
      </c>
      <c r="G10" s="18" t="s">
        <v>328</v>
      </c>
      <c r="H10" s="18" t="s">
        <v>14</v>
      </c>
      <c r="I10" s="23">
        <v>34428</v>
      </c>
      <c r="J10" s="24">
        <v>0.94</v>
      </c>
      <c r="K10" s="18">
        <v>31</v>
      </c>
      <c r="L10" s="18" t="str">
        <v>Tidak</v>
      </c>
      <c r="M10" s="18" t="str">
        <v>Good</v>
      </c>
      <c r="N10" s="18" t="str">
        <v>Senior Manager</v>
      </c>
      <c r="O10" s="19">
        <v>18000000</v>
      </c>
      <c r="P10" s="18">
        <v>2</v>
      </c>
      <c r="Q10" s="18">
        <v>36000000</v>
      </c>
      <c r="R10" s="18" t="str">
        <v>Laki-Laki</v>
      </c>
      <c r="S10" s="18">
        <v>2019</v>
      </c>
    </row>
    <row r="11" spans="1:19" x14ac:dyDescent="0.35">
      <c r="A11" s="18" t="s">
        <v>49</v>
      </c>
      <c r="B11" s="18" t="s">
        <v>50</v>
      </c>
      <c r="C11" s="18" t="s">
        <v>14</v>
      </c>
      <c r="D11" s="18" t="s">
        <v>15</v>
      </c>
      <c r="E11" s="22">
        <v>43528</v>
      </c>
      <c r="F11" s="18" t="s">
        <v>23</v>
      </c>
      <c r="G11" s="18" t="s">
        <v>327</v>
      </c>
      <c r="H11" s="18" t="s">
        <v>24</v>
      </c>
      <c r="I11" s="23">
        <v>33189</v>
      </c>
      <c r="J11" s="24">
        <v>0.62</v>
      </c>
      <c r="K11" s="18">
        <v>35</v>
      </c>
      <c r="L11" s="18" t="str">
        <v>Tidak</v>
      </c>
      <c r="M11" s="18" t="str">
        <v>Poor</v>
      </c>
      <c r="N11" s="18" t="str">
        <v>Staff</v>
      </c>
      <c r="O11" s="19">
        <v>4000000</v>
      </c>
      <c r="P11" s="18">
        <v>1</v>
      </c>
      <c r="Q11" s="18">
        <v>0</v>
      </c>
      <c r="R11" s="18" t="str">
        <v>Perempuan</v>
      </c>
      <c r="S11" s="18">
        <v>2019</v>
      </c>
    </row>
    <row r="12" spans="1:19" x14ac:dyDescent="0.35">
      <c r="A12" s="18" t="s">
        <v>52</v>
      </c>
      <c r="B12" s="18" t="s">
        <v>53</v>
      </c>
      <c r="C12" s="18" t="s">
        <v>14</v>
      </c>
      <c r="D12" s="18" t="s">
        <v>15</v>
      </c>
      <c r="E12" s="22">
        <v>41792</v>
      </c>
      <c r="F12" s="18" t="s">
        <v>23</v>
      </c>
      <c r="G12" s="18" t="s">
        <v>328</v>
      </c>
      <c r="H12" s="18" t="s">
        <v>14</v>
      </c>
      <c r="I12" s="23">
        <v>32950</v>
      </c>
      <c r="J12" s="24">
        <v>0.69</v>
      </c>
      <c r="K12" s="18">
        <v>35</v>
      </c>
      <c r="L12" s="18" t="str">
        <v>Tidak</v>
      </c>
      <c r="M12" s="18" t="str">
        <v>Poor</v>
      </c>
      <c r="N12" s="18" t="str">
        <v>Staff</v>
      </c>
      <c r="O12" s="19">
        <v>4000000</v>
      </c>
      <c r="P12" s="18">
        <v>1</v>
      </c>
      <c r="Q12" s="18">
        <v>0</v>
      </c>
      <c r="R12" s="18" t="str">
        <v>Laki-Laki</v>
      </c>
      <c r="S12" s="18">
        <v>2014</v>
      </c>
    </row>
    <row r="13" spans="1:19" x14ac:dyDescent="0.35">
      <c r="A13" s="18" t="s">
        <v>55</v>
      </c>
      <c r="B13" s="18" t="s">
        <v>56</v>
      </c>
      <c r="C13" s="18" t="s">
        <v>14</v>
      </c>
      <c r="D13" s="18" t="s">
        <v>27</v>
      </c>
      <c r="E13" s="22">
        <v>39295</v>
      </c>
      <c r="F13" s="18" t="s">
        <v>23</v>
      </c>
      <c r="G13" s="18" t="s">
        <v>328</v>
      </c>
      <c r="H13" s="18" t="s">
        <v>58</v>
      </c>
      <c r="I13" s="23">
        <v>28916</v>
      </c>
      <c r="J13" s="24">
        <v>0.84</v>
      </c>
      <c r="K13" s="18">
        <v>46</v>
      </c>
      <c r="L13" s="18" t="str">
        <v>Tidak</v>
      </c>
      <c r="M13" s="18" t="str">
        <v>Good</v>
      </c>
      <c r="N13" s="18" t="str">
        <v>Senior Staff</v>
      </c>
      <c r="O13" s="19">
        <v>5000000</v>
      </c>
      <c r="P13" s="18">
        <v>1</v>
      </c>
      <c r="Q13" s="18">
        <v>0</v>
      </c>
      <c r="R13" s="18" t="str">
        <v>Laki-Laki</v>
      </c>
      <c r="S13" s="18">
        <v>2007</v>
      </c>
    </row>
    <row r="14" spans="1:19" x14ac:dyDescent="0.35">
      <c r="A14" s="18" t="s">
        <v>59</v>
      </c>
      <c r="B14" s="18" t="s">
        <v>60</v>
      </c>
      <c r="C14" s="18" t="s">
        <v>14</v>
      </c>
      <c r="D14" s="18" t="s">
        <v>27</v>
      </c>
      <c r="E14" s="22">
        <v>40452</v>
      </c>
      <c r="F14" s="18" t="s">
        <v>23</v>
      </c>
      <c r="G14" s="18" t="s">
        <v>328</v>
      </c>
      <c r="H14" s="18" t="s">
        <v>14</v>
      </c>
      <c r="I14" s="23">
        <v>31291</v>
      </c>
      <c r="J14" s="24">
        <v>0.7</v>
      </c>
      <c r="K14" s="18">
        <v>40</v>
      </c>
      <c r="L14" s="18" t="str">
        <v>Tidak</v>
      </c>
      <c r="M14" s="18" t="str">
        <v>Good</v>
      </c>
      <c r="N14" s="18" t="str">
        <v>Supervisor</v>
      </c>
      <c r="O14" s="19">
        <v>7000000</v>
      </c>
      <c r="P14" s="18">
        <v>1</v>
      </c>
      <c r="Q14" s="18">
        <v>0</v>
      </c>
      <c r="R14" s="18" t="str">
        <v>Laki-Laki</v>
      </c>
      <c r="S14" s="18">
        <v>2010</v>
      </c>
    </row>
    <row r="15" spans="1:19" x14ac:dyDescent="0.35">
      <c r="A15" s="18" t="s">
        <v>61</v>
      </c>
      <c r="B15" s="18" t="s">
        <v>62</v>
      </c>
      <c r="C15" s="18" t="s">
        <v>63</v>
      </c>
      <c r="D15" s="18" t="s">
        <v>27</v>
      </c>
      <c r="E15" s="22">
        <v>43405</v>
      </c>
      <c r="F15" s="18" t="s">
        <v>23</v>
      </c>
      <c r="G15" s="18" t="s">
        <v>328</v>
      </c>
      <c r="H15" s="18" t="s">
        <v>14</v>
      </c>
      <c r="I15" s="23">
        <v>32543</v>
      </c>
      <c r="J15" s="24">
        <v>0.84</v>
      </c>
      <c r="K15" s="18">
        <v>36</v>
      </c>
      <c r="L15" s="18" t="str">
        <v>Tidak</v>
      </c>
      <c r="M15" s="18" t="str">
        <v>Good</v>
      </c>
      <c r="N15" s="18" t="str">
        <v>Senior Staff</v>
      </c>
      <c r="O15" s="19">
        <v>5000000</v>
      </c>
      <c r="P15" s="18">
        <v>1</v>
      </c>
      <c r="Q15" s="18">
        <v>0</v>
      </c>
      <c r="R15" s="18" t="str">
        <v>Laki-Laki</v>
      </c>
      <c r="S15" s="18">
        <v>2018</v>
      </c>
    </row>
    <row r="16" spans="1:19" x14ac:dyDescent="0.35">
      <c r="A16" s="18" t="s">
        <v>64</v>
      </c>
      <c r="B16" s="18" t="s">
        <v>65</v>
      </c>
      <c r="C16" s="18" t="s">
        <v>14</v>
      </c>
      <c r="D16" s="18" t="s">
        <v>27</v>
      </c>
      <c r="E16" s="22">
        <v>36739</v>
      </c>
      <c r="F16" s="18" t="s">
        <v>23</v>
      </c>
      <c r="G16" s="18" t="s">
        <v>328</v>
      </c>
      <c r="H16" s="18" t="s">
        <v>66</v>
      </c>
      <c r="I16" s="23">
        <v>27463</v>
      </c>
      <c r="J16" s="24">
        <v>0.89</v>
      </c>
      <c r="K16" s="18">
        <v>50</v>
      </c>
      <c r="L16" s="18" t="str">
        <v>Ya</v>
      </c>
      <c r="M16" s="18" t="str">
        <v>Good</v>
      </c>
      <c r="N16" s="18" t="str">
        <v>General Manager</v>
      </c>
      <c r="O16" s="19">
        <v>25000000</v>
      </c>
      <c r="P16" s="18">
        <v>2</v>
      </c>
      <c r="Q16" s="18">
        <v>0</v>
      </c>
      <c r="R16" s="18" t="str">
        <v>Laki-Laki</v>
      </c>
      <c r="S16" s="18">
        <v>2000</v>
      </c>
    </row>
    <row r="17" spans="1:19" x14ac:dyDescent="0.35">
      <c r="A17" s="18" t="s">
        <v>67</v>
      </c>
      <c r="B17" s="18" t="s">
        <v>68</v>
      </c>
      <c r="C17" s="18" t="s">
        <v>14</v>
      </c>
      <c r="D17" s="18" t="s">
        <v>27</v>
      </c>
      <c r="E17" s="22">
        <v>40126</v>
      </c>
      <c r="F17" s="18" t="s">
        <v>23</v>
      </c>
      <c r="G17" s="18" t="s">
        <v>328</v>
      </c>
      <c r="H17" s="18" t="s">
        <v>46</v>
      </c>
      <c r="I17" s="23">
        <v>31042</v>
      </c>
      <c r="J17" s="24">
        <v>1</v>
      </c>
      <c r="K17" s="18">
        <v>41</v>
      </c>
      <c r="L17" s="18" t="str">
        <v>Tidak</v>
      </c>
      <c r="M17" s="18" t="str">
        <v>Good</v>
      </c>
      <c r="N17" s="18" t="str">
        <v>Senior Manager</v>
      </c>
      <c r="O17" s="19">
        <v>18000000</v>
      </c>
      <c r="P17" s="18">
        <v>2</v>
      </c>
      <c r="Q17" s="18">
        <v>36000000</v>
      </c>
      <c r="R17" s="18" t="str">
        <v>Laki-Laki</v>
      </c>
      <c r="S17" s="18">
        <v>2009</v>
      </c>
    </row>
    <row r="18" spans="1:19" x14ac:dyDescent="0.35">
      <c r="A18" s="18" t="s">
        <v>69</v>
      </c>
      <c r="B18" s="18" t="s">
        <v>70</v>
      </c>
      <c r="C18" s="18" t="s">
        <v>14</v>
      </c>
      <c r="D18" s="18" t="s">
        <v>27</v>
      </c>
      <c r="E18" s="22">
        <v>42900</v>
      </c>
      <c r="F18" s="18" t="s">
        <v>23</v>
      </c>
      <c r="G18" s="18" t="s">
        <v>327</v>
      </c>
      <c r="H18" s="18" t="s">
        <v>71</v>
      </c>
      <c r="I18" s="23">
        <v>30886</v>
      </c>
      <c r="J18" s="24">
        <v>0.85</v>
      </c>
      <c r="K18" s="18">
        <v>41</v>
      </c>
      <c r="L18" s="18" t="str">
        <v>Tidak</v>
      </c>
      <c r="M18" s="18" t="str">
        <v>Good</v>
      </c>
      <c r="N18" s="18" t="str">
        <v>General Manager</v>
      </c>
      <c r="O18" s="19">
        <v>25000000</v>
      </c>
      <c r="P18" s="18">
        <v>2</v>
      </c>
      <c r="Q18" s="18">
        <v>0</v>
      </c>
      <c r="R18" s="18" t="str">
        <v>Perempuan</v>
      </c>
      <c r="S18" s="18">
        <v>2017</v>
      </c>
    </row>
    <row r="19" spans="1:19" x14ac:dyDescent="0.35">
      <c r="A19" s="18" t="s">
        <v>72</v>
      </c>
      <c r="B19" s="18" t="s">
        <v>73</v>
      </c>
      <c r="C19" s="18" t="s">
        <v>14</v>
      </c>
      <c r="D19" s="18" t="s">
        <v>27</v>
      </c>
      <c r="E19" s="22">
        <v>44900</v>
      </c>
      <c r="F19" s="18" t="s">
        <v>18</v>
      </c>
      <c r="G19" s="18" t="s">
        <v>328</v>
      </c>
      <c r="H19" s="18" t="s">
        <v>74</v>
      </c>
      <c r="I19" s="23">
        <v>31567</v>
      </c>
      <c r="J19" s="24">
        <v>0.68</v>
      </c>
      <c r="K19" s="18">
        <v>39</v>
      </c>
      <c r="L19" s="18" t="str">
        <v>Tidak</v>
      </c>
      <c r="M19" s="18" t="str">
        <v>Poor</v>
      </c>
      <c r="N19" s="18" t="str">
        <v>Senior Manager</v>
      </c>
      <c r="O19" s="19">
        <v>18000000</v>
      </c>
      <c r="P19" s="18">
        <v>2</v>
      </c>
      <c r="Q19" s="18">
        <v>0</v>
      </c>
      <c r="R19" s="18" t="str">
        <v>Laki-Laki</v>
      </c>
      <c r="S19" s="18">
        <v>2022</v>
      </c>
    </row>
    <row r="20" spans="1:19" x14ac:dyDescent="0.35">
      <c r="A20" s="18" t="s">
        <v>75</v>
      </c>
      <c r="B20" s="18" t="s">
        <v>76</v>
      </c>
      <c r="C20" s="18" t="s">
        <v>14</v>
      </c>
      <c r="D20" s="18" t="s">
        <v>27</v>
      </c>
      <c r="E20" s="22">
        <v>43206</v>
      </c>
      <c r="F20" s="18" t="s">
        <v>23</v>
      </c>
      <c r="G20" s="18" t="s">
        <v>327</v>
      </c>
      <c r="H20" s="18" t="s">
        <v>14</v>
      </c>
      <c r="I20" s="23">
        <v>34394</v>
      </c>
      <c r="J20" s="24">
        <v>0.64</v>
      </c>
      <c r="K20" s="18">
        <v>31</v>
      </c>
      <c r="L20" s="18" t="str">
        <v>Tidak</v>
      </c>
      <c r="M20" s="18" t="str">
        <v>Poor</v>
      </c>
      <c r="N20" s="18" t="str">
        <v>Junior Manager</v>
      </c>
      <c r="O20" s="19">
        <v>12000000</v>
      </c>
      <c r="P20" s="18">
        <v>2</v>
      </c>
      <c r="Q20" s="18">
        <v>0</v>
      </c>
      <c r="R20" s="18" t="str">
        <v>Perempuan</v>
      </c>
      <c r="S20" s="18">
        <v>2018</v>
      </c>
    </row>
    <row r="21" spans="1:19" x14ac:dyDescent="0.35">
      <c r="A21" s="18" t="s">
        <v>78</v>
      </c>
      <c r="B21" s="18" t="s">
        <v>79</v>
      </c>
      <c r="C21" s="18" t="s">
        <v>14</v>
      </c>
      <c r="D21" s="18" t="s">
        <v>15</v>
      </c>
      <c r="E21" s="22">
        <v>43206</v>
      </c>
      <c r="F21" s="18" t="s">
        <v>23</v>
      </c>
      <c r="G21" s="18" t="s">
        <v>328</v>
      </c>
      <c r="H21" s="18" t="s">
        <v>14</v>
      </c>
      <c r="I21" s="23">
        <v>34394</v>
      </c>
      <c r="J21" s="24">
        <v>0.81</v>
      </c>
      <c r="K21" s="18">
        <v>31</v>
      </c>
      <c r="L21" s="18" t="str">
        <v>Tidak</v>
      </c>
      <c r="M21" s="18" t="str">
        <v>Good</v>
      </c>
      <c r="N21" s="18" t="str">
        <v>Supervisor</v>
      </c>
      <c r="O21" s="19">
        <v>7000000</v>
      </c>
      <c r="P21" s="18">
        <v>1</v>
      </c>
      <c r="Q21" s="18">
        <v>0</v>
      </c>
      <c r="R21" s="18" t="str">
        <v>Laki-Laki</v>
      </c>
      <c r="S21" s="18">
        <v>2018</v>
      </c>
    </row>
    <row r="22" spans="1:19" x14ac:dyDescent="0.35">
      <c r="A22" s="18" t="s">
        <v>80</v>
      </c>
      <c r="B22" s="18" t="s">
        <v>81</v>
      </c>
      <c r="C22" s="18" t="s">
        <v>14</v>
      </c>
      <c r="D22" s="18" t="s">
        <v>15</v>
      </c>
      <c r="E22" s="22">
        <v>38922</v>
      </c>
      <c r="F22" s="18" t="s">
        <v>23</v>
      </c>
      <c r="G22" s="18" t="s">
        <v>328</v>
      </c>
      <c r="H22" s="18" t="s">
        <v>82</v>
      </c>
      <c r="I22" s="23">
        <v>30364</v>
      </c>
      <c r="J22" s="24">
        <v>0.73</v>
      </c>
      <c r="K22" s="18">
        <v>42</v>
      </c>
      <c r="L22" s="18" t="str">
        <v>Tidak</v>
      </c>
      <c r="M22" s="18" t="str">
        <v>Good</v>
      </c>
      <c r="N22" s="18" t="str">
        <v>Supervisor</v>
      </c>
      <c r="O22" s="19">
        <v>7000000</v>
      </c>
      <c r="P22" s="18">
        <v>1</v>
      </c>
      <c r="Q22" s="18">
        <v>0</v>
      </c>
      <c r="R22" s="18" t="str">
        <v>Laki-Laki</v>
      </c>
      <c r="S22" s="18">
        <v>2006</v>
      </c>
    </row>
    <row r="23" spans="1:19" x14ac:dyDescent="0.35">
      <c r="A23" s="18" t="s">
        <v>83</v>
      </c>
      <c r="B23" s="18" t="s">
        <v>84</v>
      </c>
      <c r="C23" s="18" t="s">
        <v>14</v>
      </c>
      <c r="D23" s="18" t="s">
        <v>27</v>
      </c>
      <c r="E23" s="22">
        <v>44571</v>
      </c>
      <c r="F23" s="18" t="s">
        <v>23</v>
      </c>
      <c r="G23" s="18" t="s">
        <v>327</v>
      </c>
      <c r="H23" s="18" t="s">
        <v>85</v>
      </c>
      <c r="I23" s="23">
        <v>35355</v>
      </c>
      <c r="J23" s="24">
        <v>0.93</v>
      </c>
      <c r="K23" s="18">
        <v>29</v>
      </c>
      <c r="L23" s="18" t="str">
        <v>Tidak</v>
      </c>
      <c r="M23" s="18" t="str">
        <v>Good</v>
      </c>
      <c r="N23" s="18" t="str">
        <v>Senior Staff</v>
      </c>
      <c r="O23" s="19">
        <v>5000000</v>
      </c>
      <c r="P23" s="18">
        <v>1</v>
      </c>
      <c r="Q23" s="18">
        <v>5000000</v>
      </c>
      <c r="R23" s="18" t="str">
        <v>Perempuan</v>
      </c>
      <c r="S23" s="18">
        <v>2022</v>
      </c>
    </row>
    <row r="24" spans="1:19" x14ac:dyDescent="0.35">
      <c r="A24" s="18" t="s">
        <v>86</v>
      </c>
      <c r="B24" s="18" t="s">
        <v>87</v>
      </c>
      <c r="C24" s="18" t="s">
        <v>14</v>
      </c>
      <c r="D24" s="18" t="s">
        <v>15</v>
      </c>
      <c r="E24" s="22">
        <v>44691</v>
      </c>
      <c r="F24" s="18" t="s">
        <v>18</v>
      </c>
      <c r="G24" s="18" t="s">
        <v>328</v>
      </c>
      <c r="H24" s="18" t="s">
        <v>14</v>
      </c>
      <c r="I24" s="23">
        <v>31066</v>
      </c>
      <c r="J24" s="24">
        <v>0.71</v>
      </c>
      <c r="K24" s="18">
        <v>40</v>
      </c>
      <c r="L24" s="18" t="str">
        <v>Tidak</v>
      </c>
      <c r="M24" s="18" t="str">
        <v>Good</v>
      </c>
      <c r="N24" s="18" t="str">
        <v>General Manager</v>
      </c>
      <c r="O24" s="19">
        <v>25000000</v>
      </c>
      <c r="P24" s="18">
        <v>2</v>
      </c>
      <c r="Q24" s="18">
        <v>0</v>
      </c>
      <c r="R24" s="18" t="str">
        <v>Laki-Laki</v>
      </c>
      <c r="S24" s="18">
        <v>2022</v>
      </c>
    </row>
    <row r="25" spans="1:19" x14ac:dyDescent="0.35">
      <c r="A25" s="18" t="s">
        <v>88</v>
      </c>
      <c r="B25" s="18" t="s">
        <v>89</v>
      </c>
      <c r="C25" s="18" t="s">
        <v>63</v>
      </c>
      <c r="D25" s="18" t="s">
        <v>27</v>
      </c>
      <c r="E25" s="22">
        <v>44013</v>
      </c>
      <c r="F25" s="18" t="s">
        <v>23</v>
      </c>
      <c r="G25" s="18" t="s">
        <v>328</v>
      </c>
      <c r="H25" s="18" t="s">
        <v>14</v>
      </c>
      <c r="I25" s="23">
        <v>31849</v>
      </c>
      <c r="J25" s="24">
        <v>0.86</v>
      </c>
      <c r="K25" s="18">
        <v>38</v>
      </c>
      <c r="L25" s="18" t="str">
        <v>Tidak</v>
      </c>
      <c r="M25" s="18" t="str">
        <v>Good</v>
      </c>
      <c r="N25" s="18" t="str">
        <v>General Manager</v>
      </c>
      <c r="O25" s="19">
        <v>25000000</v>
      </c>
      <c r="P25" s="18">
        <v>2</v>
      </c>
      <c r="Q25" s="18">
        <v>0</v>
      </c>
      <c r="R25" s="18" t="str">
        <v>Laki-Laki</v>
      </c>
      <c r="S25" s="18">
        <v>2020</v>
      </c>
    </row>
    <row r="26" spans="1:19" x14ac:dyDescent="0.35">
      <c r="A26" s="18" t="s">
        <v>90</v>
      </c>
      <c r="B26" s="18" t="s">
        <v>91</v>
      </c>
      <c r="C26" s="18" t="s">
        <v>14</v>
      </c>
      <c r="D26" s="18" t="s">
        <v>27</v>
      </c>
      <c r="E26" s="22">
        <v>44690</v>
      </c>
      <c r="F26" s="18" t="s">
        <v>23</v>
      </c>
      <c r="G26" s="18" t="s">
        <v>328</v>
      </c>
      <c r="H26" s="18" t="s">
        <v>92</v>
      </c>
      <c r="I26" s="23">
        <v>35080</v>
      </c>
      <c r="J26" s="24">
        <v>0.89</v>
      </c>
      <c r="K26" s="18">
        <v>29</v>
      </c>
      <c r="L26" s="18" t="str">
        <v>Tidak</v>
      </c>
      <c r="M26" s="18" t="str">
        <v>Good</v>
      </c>
      <c r="N26" s="18" t="str">
        <v>Senior Staff</v>
      </c>
      <c r="O26" s="19">
        <v>5000000</v>
      </c>
      <c r="P26" s="18">
        <v>1</v>
      </c>
      <c r="Q26" s="18">
        <v>0</v>
      </c>
      <c r="R26" s="18" t="str">
        <v>Laki-Laki</v>
      </c>
      <c r="S26" s="18">
        <v>2022</v>
      </c>
    </row>
    <row r="27" spans="1:19" x14ac:dyDescent="0.35">
      <c r="A27" s="18" t="s">
        <v>93</v>
      </c>
      <c r="B27" s="18" t="s">
        <v>94</v>
      </c>
      <c r="C27" s="18" t="s">
        <v>14</v>
      </c>
      <c r="D27" s="18" t="s">
        <v>27</v>
      </c>
      <c r="E27" s="22">
        <v>42870</v>
      </c>
      <c r="F27" s="18" t="s">
        <v>23</v>
      </c>
      <c r="G27" s="18" t="s">
        <v>327</v>
      </c>
      <c r="H27" s="18" t="s">
        <v>14</v>
      </c>
      <c r="I27" s="23">
        <v>34052</v>
      </c>
      <c r="J27" s="24">
        <v>0.98</v>
      </c>
      <c r="K27" s="18">
        <v>32</v>
      </c>
      <c r="L27" s="18" t="str">
        <v>Tidak</v>
      </c>
      <c r="M27" s="18" t="str">
        <v>Good</v>
      </c>
      <c r="N27" s="18" t="str">
        <v>Supervisor</v>
      </c>
      <c r="O27" s="19">
        <v>7000000</v>
      </c>
      <c r="P27" s="18">
        <v>1</v>
      </c>
      <c r="Q27" s="18">
        <v>7000000</v>
      </c>
      <c r="R27" s="18" t="str">
        <v>Perempuan</v>
      </c>
      <c r="S27" s="18">
        <v>2017</v>
      </c>
    </row>
    <row r="28" spans="1:19" x14ac:dyDescent="0.35">
      <c r="A28" s="18" t="s">
        <v>95</v>
      </c>
      <c r="B28" s="18" t="s">
        <v>96</v>
      </c>
      <c r="C28" s="18" t="s">
        <v>14</v>
      </c>
      <c r="D28" s="18" t="s">
        <v>27</v>
      </c>
      <c r="E28" s="22">
        <v>40452</v>
      </c>
      <c r="F28" s="18" t="s">
        <v>23</v>
      </c>
      <c r="G28" s="18" t="s">
        <v>328</v>
      </c>
      <c r="H28" s="18" t="s">
        <v>97</v>
      </c>
      <c r="I28" s="23">
        <v>31019</v>
      </c>
      <c r="J28" s="24">
        <v>0.97</v>
      </c>
      <c r="K28" s="18">
        <v>41</v>
      </c>
      <c r="L28" s="18" t="str">
        <v>Tidak</v>
      </c>
      <c r="M28" s="18" t="str">
        <v>Good</v>
      </c>
      <c r="N28" s="18" t="str">
        <v>Senior Manager</v>
      </c>
      <c r="O28" s="19">
        <v>18000000</v>
      </c>
      <c r="P28" s="18">
        <v>2</v>
      </c>
      <c r="Q28" s="18">
        <v>36000000</v>
      </c>
      <c r="R28" s="18" t="str">
        <v>Laki-Laki</v>
      </c>
      <c r="S28" s="18">
        <v>2010</v>
      </c>
    </row>
    <row r="29" spans="1:19" x14ac:dyDescent="0.35">
      <c r="A29" s="18" t="s">
        <v>98</v>
      </c>
      <c r="B29" s="18" t="s">
        <v>99</v>
      </c>
      <c r="C29" s="18" t="s">
        <v>14</v>
      </c>
      <c r="D29" s="18" t="s">
        <v>27</v>
      </c>
      <c r="E29" s="22">
        <v>40452</v>
      </c>
      <c r="F29" s="18" t="s">
        <v>23</v>
      </c>
      <c r="G29" s="18" t="s">
        <v>327</v>
      </c>
      <c r="H29" s="18" t="s">
        <v>63</v>
      </c>
      <c r="I29" s="23">
        <v>29008</v>
      </c>
      <c r="J29" s="24">
        <v>0.87</v>
      </c>
      <c r="K29" s="18">
        <v>46</v>
      </c>
      <c r="L29" s="18" t="str">
        <v>Tidak</v>
      </c>
      <c r="M29" s="18" t="str">
        <v>Good</v>
      </c>
      <c r="N29" s="18" t="str">
        <v>Supervisor</v>
      </c>
      <c r="O29" s="19">
        <v>7000000</v>
      </c>
      <c r="P29" s="18">
        <v>1</v>
      </c>
      <c r="Q29" s="18">
        <v>0</v>
      </c>
      <c r="R29" s="18" t="str">
        <v>Perempuan</v>
      </c>
      <c r="S29" s="18">
        <v>2010</v>
      </c>
    </row>
    <row r="30" spans="1:19" x14ac:dyDescent="0.35">
      <c r="A30" s="18" t="s">
        <v>100</v>
      </c>
      <c r="B30" s="18" t="s">
        <v>101</v>
      </c>
      <c r="C30" s="18" t="s">
        <v>14</v>
      </c>
      <c r="D30" s="18" t="s">
        <v>27</v>
      </c>
      <c r="E30" s="22">
        <v>43164</v>
      </c>
      <c r="F30" s="18" t="s">
        <v>23</v>
      </c>
      <c r="G30" s="18" t="s">
        <v>328</v>
      </c>
      <c r="H30" s="18" t="s">
        <v>14</v>
      </c>
      <c r="I30" s="23">
        <v>31728</v>
      </c>
      <c r="J30" s="24">
        <v>0.96</v>
      </c>
      <c r="K30" s="18">
        <v>39</v>
      </c>
      <c r="L30" s="18" t="str">
        <v>Tidak</v>
      </c>
      <c r="M30" s="18" t="str">
        <v>Good</v>
      </c>
      <c r="N30" s="18" t="str">
        <v>Senior Staff</v>
      </c>
      <c r="O30" s="19">
        <v>5000000</v>
      </c>
      <c r="P30" s="18">
        <v>1</v>
      </c>
      <c r="Q30" s="18">
        <v>5000000</v>
      </c>
      <c r="R30" s="18" t="str">
        <v>Laki-Laki</v>
      </c>
      <c r="S30" s="18">
        <v>2018</v>
      </c>
    </row>
    <row r="31" spans="1:19" x14ac:dyDescent="0.35">
      <c r="A31" s="18" t="s">
        <v>102</v>
      </c>
      <c r="B31" s="18" t="s">
        <v>103</v>
      </c>
      <c r="C31" s="18" t="s">
        <v>14</v>
      </c>
      <c r="D31" s="18" t="s">
        <v>27</v>
      </c>
      <c r="E31" s="22">
        <v>44928</v>
      </c>
      <c r="F31" s="18" t="s">
        <v>23</v>
      </c>
      <c r="G31" s="18" t="s">
        <v>327</v>
      </c>
      <c r="H31" s="18" t="s">
        <v>58</v>
      </c>
      <c r="I31" s="23">
        <v>35301</v>
      </c>
      <c r="J31" s="24">
        <v>0.85</v>
      </c>
      <c r="K31" s="18">
        <v>29</v>
      </c>
      <c r="L31" s="18" t="str">
        <v>Tidak</v>
      </c>
      <c r="M31" s="18" t="str">
        <v>Good</v>
      </c>
      <c r="N31" s="18" t="str">
        <v>Senior Staff</v>
      </c>
      <c r="O31" s="19">
        <v>5000000</v>
      </c>
      <c r="P31" s="18">
        <v>1</v>
      </c>
      <c r="Q31" s="18">
        <v>0</v>
      </c>
      <c r="R31" s="18" t="str">
        <v>Perempuan</v>
      </c>
      <c r="S31" s="18">
        <v>2023</v>
      </c>
    </row>
    <row r="32" spans="1:19" x14ac:dyDescent="0.35">
      <c r="A32" s="18" t="s">
        <v>104</v>
      </c>
      <c r="B32" s="18" t="s">
        <v>105</v>
      </c>
      <c r="C32" s="18" t="s">
        <v>14</v>
      </c>
      <c r="D32" s="18" t="s">
        <v>15</v>
      </c>
      <c r="E32" s="22">
        <v>42933</v>
      </c>
      <c r="F32" s="18" t="s">
        <v>23</v>
      </c>
      <c r="G32" s="18" t="s">
        <v>328</v>
      </c>
      <c r="H32" s="18" t="s">
        <v>106</v>
      </c>
      <c r="I32" s="23">
        <v>32370</v>
      </c>
      <c r="J32" s="24">
        <v>0.74</v>
      </c>
      <c r="K32" s="18">
        <v>37</v>
      </c>
      <c r="L32" s="18" t="str">
        <v>Tidak</v>
      </c>
      <c r="M32" s="18" t="str">
        <v>Good</v>
      </c>
      <c r="N32" s="18" t="str">
        <v>General Manager</v>
      </c>
      <c r="O32" s="19">
        <v>25000000</v>
      </c>
      <c r="P32" s="18">
        <v>2</v>
      </c>
      <c r="Q32" s="18">
        <v>0</v>
      </c>
      <c r="R32" s="18" t="str">
        <v>Laki-Laki</v>
      </c>
      <c r="S32" s="18">
        <v>2017</v>
      </c>
    </row>
    <row r="33" spans="1:19" x14ac:dyDescent="0.35">
      <c r="A33" s="18" t="s">
        <v>107</v>
      </c>
      <c r="B33" s="18" t="s">
        <v>108</v>
      </c>
      <c r="C33" s="18" t="s">
        <v>14</v>
      </c>
      <c r="D33" s="18" t="s">
        <v>27</v>
      </c>
      <c r="E33" s="22">
        <v>43272</v>
      </c>
      <c r="F33" s="18" t="s">
        <v>23</v>
      </c>
      <c r="G33" s="18" t="s">
        <v>327</v>
      </c>
      <c r="H33" s="18" t="s">
        <v>24</v>
      </c>
      <c r="I33" s="23">
        <v>32544</v>
      </c>
      <c r="J33" s="24">
        <v>0.77</v>
      </c>
      <c r="K33" s="18">
        <v>36</v>
      </c>
      <c r="L33" s="18" t="str">
        <v>Tidak</v>
      </c>
      <c r="M33" s="18" t="str">
        <v>Good</v>
      </c>
      <c r="N33" s="18" t="str">
        <v>Senior Manager</v>
      </c>
      <c r="O33" s="19">
        <v>18000000</v>
      </c>
      <c r="P33" s="18">
        <v>2</v>
      </c>
      <c r="Q33" s="18">
        <v>0</v>
      </c>
      <c r="R33" s="18" t="str">
        <v>Perempuan</v>
      </c>
      <c r="S33" s="18">
        <v>2018</v>
      </c>
    </row>
    <row r="34" spans="1:19" x14ac:dyDescent="0.35">
      <c r="A34" s="18" t="s">
        <v>109</v>
      </c>
      <c r="B34" s="18" t="s">
        <v>110</v>
      </c>
      <c r="C34" s="18" t="s">
        <v>14</v>
      </c>
      <c r="D34" s="18" t="s">
        <v>27</v>
      </c>
      <c r="E34" s="22">
        <v>43346</v>
      </c>
      <c r="F34" s="18" t="s">
        <v>23</v>
      </c>
      <c r="G34" s="18" t="s">
        <v>328</v>
      </c>
      <c r="H34" s="18" t="s">
        <v>111</v>
      </c>
      <c r="I34" s="23">
        <v>34740</v>
      </c>
      <c r="J34" s="24">
        <v>0.62</v>
      </c>
      <c r="K34" s="18">
        <v>30</v>
      </c>
      <c r="L34" s="18" t="str">
        <v>Tidak</v>
      </c>
      <c r="M34" s="18" t="str">
        <v>Poor</v>
      </c>
      <c r="N34" s="18" t="str">
        <v>Staff</v>
      </c>
      <c r="O34" s="19">
        <v>4000000</v>
      </c>
      <c r="P34" s="18">
        <v>1</v>
      </c>
      <c r="Q34" s="18">
        <v>0</v>
      </c>
      <c r="R34" s="18" t="str">
        <v>Laki-Laki</v>
      </c>
      <c r="S34" s="18">
        <v>2018</v>
      </c>
    </row>
    <row r="35" spans="1:19" x14ac:dyDescent="0.35">
      <c r="A35" s="18" t="s">
        <v>112</v>
      </c>
      <c r="B35" s="18" t="s">
        <v>113</v>
      </c>
      <c r="C35" s="18" t="s">
        <v>24</v>
      </c>
      <c r="D35" s="18" t="s">
        <v>27</v>
      </c>
      <c r="E35" s="22">
        <v>38534</v>
      </c>
      <c r="F35" s="18" t="s">
        <v>23</v>
      </c>
      <c r="G35" s="18" t="s">
        <v>328</v>
      </c>
      <c r="H35" s="18" t="s">
        <v>114</v>
      </c>
      <c r="I35" s="23">
        <v>29469</v>
      </c>
      <c r="J35" s="24">
        <v>0.91</v>
      </c>
      <c r="K35" s="18">
        <v>45</v>
      </c>
      <c r="L35" s="18" t="str">
        <v>Tidak</v>
      </c>
      <c r="M35" s="18" t="str">
        <v>Good</v>
      </c>
      <c r="N35" s="18" t="str">
        <v>Supervisor</v>
      </c>
      <c r="O35" s="19">
        <v>7000000</v>
      </c>
      <c r="P35" s="18">
        <v>1</v>
      </c>
      <c r="Q35" s="18">
        <v>7000000</v>
      </c>
      <c r="R35" s="18" t="str">
        <v>Laki-Laki</v>
      </c>
      <c r="S35" s="18">
        <v>2005</v>
      </c>
    </row>
    <row r="36" spans="1:19" x14ac:dyDescent="0.35">
      <c r="A36" s="18" t="s">
        <v>115</v>
      </c>
      <c r="B36" s="18" t="s">
        <v>116</v>
      </c>
      <c r="C36" s="18" t="s">
        <v>14</v>
      </c>
      <c r="D36" s="18" t="s">
        <v>27</v>
      </c>
      <c r="E36" s="22">
        <v>43808</v>
      </c>
      <c r="F36" s="18" t="s">
        <v>23</v>
      </c>
      <c r="G36" s="18" t="s">
        <v>328</v>
      </c>
      <c r="H36" s="18" t="s">
        <v>14</v>
      </c>
      <c r="I36" s="23">
        <v>35154</v>
      </c>
      <c r="J36" s="24">
        <v>0.61</v>
      </c>
      <c r="K36" s="18">
        <v>29</v>
      </c>
      <c r="L36" s="18" t="str">
        <v>Tidak</v>
      </c>
      <c r="M36" s="18" t="str">
        <v>Poor</v>
      </c>
      <c r="N36" s="18" t="str">
        <v>Supervisor</v>
      </c>
      <c r="O36" s="19">
        <v>7000000</v>
      </c>
      <c r="P36" s="18">
        <v>1</v>
      </c>
      <c r="Q36" s="18">
        <v>0</v>
      </c>
      <c r="R36" s="18" t="str">
        <v>Laki-Laki</v>
      </c>
      <c r="S36" s="18">
        <v>2019</v>
      </c>
    </row>
    <row r="37" spans="1:19" x14ac:dyDescent="0.35">
      <c r="A37" s="18" t="s">
        <v>117</v>
      </c>
      <c r="B37" s="18" t="s">
        <v>118</v>
      </c>
      <c r="C37" s="18" t="s">
        <v>14</v>
      </c>
      <c r="D37" s="18" t="s">
        <v>27</v>
      </c>
      <c r="E37" s="22">
        <v>41169</v>
      </c>
      <c r="F37" s="18" t="s">
        <v>23</v>
      </c>
      <c r="G37" s="18" t="s">
        <v>327</v>
      </c>
      <c r="H37" s="18" t="s">
        <v>24</v>
      </c>
      <c r="I37" s="23">
        <v>31334</v>
      </c>
      <c r="J37" s="24">
        <v>0.84</v>
      </c>
      <c r="K37" s="18">
        <v>40</v>
      </c>
      <c r="L37" s="18" t="str">
        <v>Tidak</v>
      </c>
      <c r="M37" s="18" t="str">
        <v>Good</v>
      </c>
      <c r="N37" s="18" t="str">
        <v>Junior Manager</v>
      </c>
      <c r="O37" s="19">
        <v>12000000</v>
      </c>
      <c r="P37" s="18">
        <v>2</v>
      </c>
      <c r="Q37" s="18">
        <v>0</v>
      </c>
      <c r="R37" s="18" t="str">
        <v>Perempuan</v>
      </c>
      <c r="S37" s="18">
        <v>2012</v>
      </c>
    </row>
    <row r="38" spans="1:19" x14ac:dyDescent="0.35">
      <c r="A38" s="18" t="s">
        <v>119</v>
      </c>
      <c r="B38" s="18" t="s">
        <v>120</v>
      </c>
      <c r="C38" s="18" t="s">
        <v>14</v>
      </c>
      <c r="D38" s="18" t="s">
        <v>27</v>
      </c>
      <c r="E38" s="22">
        <v>40910</v>
      </c>
      <c r="F38" s="18" t="s">
        <v>23</v>
      </c>
      <c r="G38" s="18" t="s">
        <v>327</v>
      </c>
      <c r="H38" s="18" t="s">
        <v>121</v>
      </c>
      <c r="I38" s="23">
        <v>32618</v>
      </c>
      <c r="J38" s="24">
        <v>0.76</v>
      </c>
      <c r="K38" s="18">
        <v>36</v>
      </c>
      <c r="L38" s="18" t="str">
        <v>Tidak</v>
      </c>
      <c r="M38" s="18" t="str">
        <v>Good</v>
      </c>
      <c r="N38" s="18" t="str">
        <v>Supervisor</v>
      </c>
      <c r="O38" s="19">
        <v>7000000</v>
      </c>
      <c r="P38" s="18">
        <v>1</v>
      </c>
      <c r="Q38" s="18">
        <v>0</v>
      </c>
      <c r="R38" s="18" t="str">
        <v>Perempuan</v>
      </c>
      <c r="S38" s="18">
        <v>2012</v>
      </c>
    </row>
    <row r="39" spans="1:19" x14ac:dyDescent="0.35">
      <c r="A39" s="18" t="s">
        <v>122</v>
      </c>
      <c r="B39" s="18" t="s">
        <v>123</v>
      </c>
      <c r="C39" s="18" t="s">
        <v>14</v>
      </c>
      <c r="D39" s="18" t="s">
        <v>27</v>
      </c>
      <c r="E39" s="22">
        <v>43748</v>
      </c>
      <c r="F39" s="18" t="s">
        <v>23</v>
      </c>
      <c r="G39" s="18" t="s">
        <v>328</v>
      </c>
      <c r="H39" s="18" t="s">
        <v>124</v>
      </c>
      <c r="I39" s="23">
        <v>33061</v>
      </c>
      <c r="J39" s="24">
        <v>0.89</v>
      </c>
      <c r="K39" s="18">
        <v>35</v>
      </c>
      <c r="L39" s="18" t="str">
        <v>Tidak</v>
      </c>
      <c r="M39" s="18" t="str">
        <v>Good</v>
      </c>
      <c r="N39" s="18" t="str">
        <v>Staff</v>
      </c>
      <c r="O39" s="19">
        <v>4000000</v>
      </c>
      <c r="P39" s="18">
        <v>1</v>
      </c>
      <c r="Q39" s="18">
        <v>0</v>
      </c>
      <c r="R39" s="18" t="str">
        <v>Laki-Laki</v>
      </c>
      <c r="S39" s="18">
        <v>2019</v>
      </c>
    </row>
    <row r="40" spans="1:19" x14ac:dyDescent="0.35">
      <c r="A40" s="18" t="s">
        <v>125</v>
      </c>
      <c r="B40" s="18" t="s">
        <v>126</v>
      </c>
      <c r="C40" s="18" t="s">
        <v>127</v>
      </c>
      <c r="D40" s="18" t="s">
        <v>15</v>
      </c>
      <c r="E40" s="22">
        <v>44594</v>
      </c>
      <c r="F40" s="18" t="s">
        <v>23</v>
      </c>
      <c r="G40" s="18" t="s">
        <v>328</v>
      </c>
      <c r="H40" s="18" t="s">
        <v>127</v>
      </c>
      <c r="I40" s="23">
        <v>33426</v>
      </c>
      <c r="J40" s="24">
        <v>0.73</v>
      </c>
      <c r="K40" s="18">
        <v>34</v>
      </c>
      <c r="L40" s="18" t="str">
        <v>Tidak</v>
      </c>
      <c r="M40" s="18" t="str">
        <v>Good</v>
      </c>
      <c r="N40" s="18" t="str">
        <v>Supervisor</v>
      </c>
      <c r="O40" s="19">
        <v>7000000</v>
      </c>
      <c r="P40" s="18">
        <v>1</v>
      </c>
      <c r="Q40" s="18">
        <v>0</v>
      </c>
      <c r="R40" s="18" t="str">
        <v>Laki-Laki</v>
      </c>
      <c r="S40" s="18">
        <v>2022</v>
      </c>
    </row>
    <row r="41" spans="1:19" x14ac:dyDescent="0.35">
      <c r="A41" s="18" t="s">
        <v>128</v>
      </c>
      <c r="B41" s="18" t="s">
        <v>129</v>
      </c>
      <c r="C41" s="18" t="s">
        <v>127</v>
      </c>
      <c r="D41" s="18" t="s">
        <v>15</v>
      </c>
      <c r="E41" s="22">
        <v>44594</v>
      </c>
      <c r="F41" s="18" t="s">
        <v>23</v>
      </c>
      <c r="G41" s="18" t="s">
        <v>327</v>
      </c>
      <c r="H41" s="18" t="s">
        <v>127</v>
      </c>
      <c r="I41" s="23">
        <v>33426</v>
      </c>
      <c r="J41" s="24">
        <v>0.8</v>
      </c>
      <c r="K41" s="18">
        <v>34</v>
      </c>
      <c r="L41" s="18" t="str">
        <v>Tidak</v>
      </c>
      <c r="M41" s="18" t="str">
        <v>Good</v>
      </c>
      <c r="N41" s="18" t="str">
        <v>Supervisor</v>
      </c>
      <c r="O41" s="19">
        <v>7000000</v>
      </c>
      <c r="P41" s="18">
        <v>1</v>
      </c>
      <c r="Q41" s="18">
        <v>0</v>
      </c>
      <c r="R41" s="18" t="str">
        <v>Perempuan</v>
      </c>
      <c r="S41" s="18">
        <v>2022</v>
      </c>
    </row>
    <row r="42" spans="1:19" x14ac:dyDescent="0.35">
      <c r="A42" s="18" t="s">
        <v>130</v>
      </c>
      <c r="B42" s="18" t="s">
        <v>131</v>
      </c>
      <c r="C42" s="18" t="s">
        <v>14</v>
      </c>
      <c r="D42" s="18" t="s">
        <v>15</v>
      </c>
      <c r="E42" s="22">
        <v>42401</v>
      </c>
      <c r="F42" s="18" t="s">
        <v>23</v>
      </c>
      <c r="G42" s="18" t="s">
        <v>328</v>
      </c>
      <c r="H42" s="18" t="s">
        <v>133</v>
      </c>
      <c r="I42" s="23">
        <v>29276</v>
      </c>
      <c r="J42" s="24">
        <v>0.73</v>
      </c>
      <c r="K42" s="18">
        <v>45</v>
      </c>
      <c r="L42" s="18" t="str">
        <v>Tidak</v>
      </c>
      <c r="M42" s="18" t="str">
        <v>Good</v>
      </c>
      <c r="N42" s="18" t="str">
        <v>CEO</v>
      </c>
      <c r="O42" s="19">
        <v>40000000</v>
      </c>
      <c r="P42" s="18">
        <v>2</v>
      </c>
      <c r="Q42" s="18">
        <v>0</v>
      </c>
      <c r="R42" s="18" t="str">
        <v>Laki-Laki</v>
      </c>
      <c r="S42" s="18">
        <v>2016</v>
      </c>
    </row>
    <row r="43" spans="1:19" x14ac:dyDescent="0.35">
      <c r="A43" s="18" t="s">
        <v>134</v>
      </c>
      <c r="B43" s="18" t="s">
        <v>135</v>
      </c>
      <c r="C43" s="18" t="s">
        <v>14</v>
      </c>
      <c r="D43" s="18" t="s">
        <v>27</v>
      </c>
      <c r="E43" s="22">
        <v>42410</v>
      </c>
      <c r="F43" s="18" t="s">
        <v>23</v>
      </c>
      <c r="G43" s="18" t="s">
        <v>328</v>
      </c>
      <c r="H43" s="18" t="s">
        <v>14</v>
      </c>
      <c r="I43" s="23">
        <v>32583</v>
      </c>
      <c r="J43" s="24">
        <v>0.84</v>
      </c>
      <c r="K43" s="18">
        <v>36</v>
      </c>
      <c r="L43" s="18" t="str">
        <v>Tidak</v>
      </c>
      <c r="M43" s="18" t="str">
        <v>Good</v>
      </c>
      <c r="N43" s="18" t="str">
        <v>Staff</v>
      </c>
      <c r="O43" s="19">
        <v>4000000</v>
      </c>
      <c r="P43" s="18">
        <v>1</v>
      </c>
      <c r="Q43" s="18">
        <v>0</v>
      </c>
      <c r="R43" s="18" t="str">
        <v>Laki-Laki</v>
      </c>
      <c r="S43" s="18">
        <v>2016</v>
      </c>
    </row>
    <row r="44" spans="1:19" x14ac:dyDescent="0.35">
      <c r="A44" s="18" t="s">
        <v>136</v>
      </c>
      <c r="B44" s="18" t="s">
        <v>137</v>
      </c>
      <c r="C44" s="18" t="s">
        <v>14</v>
      </c>
      <c r="D44" s="18" t="s">
        <v>27</v>
      </c>
      <c r="E44" s="22">
        <v>42410</v>
      </c>
      <c r="F44" s="18" t="s">
        <v>23</v>
      </c>
      <c r="G44" s="18" t="s">
        <v>327</v>
      </c>
      <c r="H44" s="18" t="s">
        <v>14</v>
      </c>
      <c r="I44" s="23">
        <v>32583</v>
      </c>
      <c r="J44" s="24">
        <v>1</v>
      </c>
      <c r="K44" s="18">
        <v>36</v>
      </c>
      <c r="L44" s="18" t="str">
        <v>Tidak</v>
      </c>
      <c r="M44" s="18" t="str">
        <v>Good</v>
      </c>
      <c r="N44" s="18" t="str">
        <v>Senior Staff</v>
      </c>
      <c r="O44" s="19">
        <v>5000000</v>
      </c>
      <c r="P44" s="18">
        <v>1</v>
      </c>
      <c r="Q44" s="18">
        <v>5000000</v>
      </c>
      <c r="R44" s="18" t="str">
        <v>Perempuan</v>
      </c>
      <c r="S44" s="18">
        <v>2016</v>
      </c>
    </row>
    <row r="45" spans="1:19" x14ac:dyDescent="0.35">
      <c r="A45" s="18" t="s">
        <v>138</v>
      </c>
      <c r="B45" s="18" t="s">
        <v>139</v>
      </c>
      <c r="C45" s="18" t="s">
        <v>14</v>
      </c>
      <c r="D45" s="18" t="s">
        <v>27</v>
      </c>
      <c r="E45" s="22">
        <v>43850</v>
      </c>
      <c r="F45" s="18" t="s">
        <v>23</v>
      </c>
      <c r="G45" s="18" t="s">
        <v>327</v>
      </c>
      <c r="H45" s="18" t="s">
        <v>24</v>
      </c>
      <c r="I45" s="23">
        <v>33837</v>
      </c>
      <c r="J45" s="24">
        <v>0.86</v>
      </c>
      <c r="K45" s="18">
        <v>33</v>
      </c>
      <c r="L45" s="18" t="str">
        <v>Tidak</v>
      </c>
      <c r="M45" s="18" t="str">
        <v>Good</v>
      </c>
      <c r="N45" s="18" t="str">
        <v>Senior Staff</v>
      </c>
      <c r="O45" s="19">
        <v>5000000</v>
      </c>
      <c r="P45" s="18">
        <v>1</v>
      </c>
      <c r="Q45" s="18">
        <v>0</v>
      </c>
      <c r="R45" s="18" t="str">
        <v>Perempuan</v>
      </c>
      <c r="S45" s="18">
        <v>2020</v>
      </c>
    </row>
    <row r="46" spans="1:19" x14ac:dyDescent="0.35">
      <c r="A46" s="18" t="s">
        <v>140</v>
      </c>
      <c r="B46" s="18" t="s">
        <v>141</v>
      </c>
      <c r="C46" s="18" t="s">
        <v>142</v>
      </c>
      <c r="D46" s="18" t="s">
        <v>15</v>
      </c>
      <c r="E46" s="22">
        <v>41323</v>
      </c>
      <c r="F46" s="18" t="s">
        <v>23</v>
      </c>
      <c r="G46" s="18" t="s">
        <v>328</v>
      </c>
      <c r="H46" s="18" t="s">
        <v>143</v>
      </c>
      <c r="I46" s="23">
        <v>31512</v>
      </c>
      <c r="J46" s="24">
        <v>0.76</v>
      </c>
      <c r="K46" s="18">
        <v>39</v>
      </c>
      <c r="L46" s="18" t="str">
        <v>Tidak</v>
      </c>
      <c r="M46" s="18" t="str">
        <v>Good</v>
      </c>
      <c r="N46" s="18" t="str">
        <v>Supervisor</v>
      </c>
      <c r="O46" s="19">
        <v>7000000</v>
      </c>
      <c r="P46" s="18">
        <v>1</v>
      </c>
      <c r="Q46" s="18">
        <v>0</v>
      </c>
      <c r="R46" s="18" t="str">
        <v>Laki-Laki</v>
      </c>
      <c r="S46" s="18">
        <v>2013</v>
      </c>
    </row>
    <row r="47" spans="1:19" x14ac:dyDescent="0.35">
      <c r="A47" s="18" t="s">
        <v>144</v>
      </c>
      <c r="B47" s="18" t="s">
        <v>145</v>
      </c>
      <c r="C47" s="18" t="s">
        <v>14</v>
      </c>
      <c r="D47" s="18" t="s">
        <v>15</v>
      </c>
      <c r="E47" s="22">
        <v>40644</v>
      </c>
      <c r="F47" s="18" t="s">
        <v>23</v>
      </c>
      <c r="G47" s="18" t="s">
        <v>327</v>
      </c>
      <c r="H47" s="18" t="s">
        <v>146</v>
      </c>
      <c r="I47" s="23">
        <v>31849</v>
      </c>
      <c r="J47" s="24">
        <v>0.95</v>
      </c>
      <c r="K47" s="18">
        <v>38</v>
      </c>
      <c r="L47" s="18" t="str">
        <v>Tidak</v>
      </c>
      <c r="M47" s="18" t="str">
        <v>Good</v>
      </c>
      <c r="N47" s="18" t="str">
        <v>Supervisor</v>
      </c>
      <c r="O47" s="19">
        <v>7000000</v>
      </c>
      <c r="P47" s="18">
        <v>1</v>
      </c>
      <c r="Q47" s="18">
        <v>7000000</v>
      </c>
      <c r="R47" s="18" t="str">
        <v>Perempuan</v>
      </c>
      <c r="S47" s="18">
        <v>2011</v>
      </c>
    </row>
    <row r="48" spans="1:19" x14ac:dyDescent="0.35">
      <c r="A48" s="18" t="s">
        <v>147</v>
      </c>
      <c r="B48" s="18" t="s">
        <v>148</v>
      </c>
      <c r="C48" s="18" t="s">
        <v>14</v>
      </c>
      <c r="D48" s="18" t="s">
        <v>27</v>
      </c>
      <c r="E48" s="22">
        <v>38117</v>
      </c>
      <c r="F48" s="18" t="s">
        <v>23</v>
      </c>
      <c r="G48" s="18" t="s">
        <v>328</v>
      </c>
      <c r="H48" s="18" t="s">
        <v>14</v>
      </c>
      <c r="I48" s="23">
        <v>27615</v>
      </c>
      <c r="J48" s="24">
        <v>0.73</v>
      </c>
      <c r="K48" s="18">
        <v>50</v>
      </c>
      <c r="L48" s="18" t="str">
        <v>Ya</v>
      </c>
      <c r="M48" s="18" t="str">
        <v>Good</v>
      </c>
      <c r="N48" s="18" t="str">
        <v>Senior Staff</v>
      </c>
      <c r="O48" s="19">
        <v>5000000</v>
      </c>
      <c r="P48" s="18">
        <v>1</v>
      </c>
      <c r="Q48" s="18">
        <v>0</v>
      </c>
      <c r="R48" s="18" t="str">
        <v>Laki-Laki</v>
      </c>
      <c r="S48" s="18">
        <v>2004</v>
      </c>
    </row>
    <row r="49" spans="1:19" x14ac:dyDescent="0.35">
      <c r="A49" s="18" t="s">
        <v>149</v>
      </c>
      <c r="B49" s="18" t="s">
        <v>150</v>
      </c>
      <c r="C49" s="18" t="s">
        <v>14</v>
      </c>
      <c r="D49" s="18" t="s">
        <v>27</v>
      </c>
      <c r="E49" s="22">
        <v>38838</v>
      </c>
      <c r="F49" s="18" t="s">
        <v>23</v>
      </c>
      <c r="G49" s="18" t="s">
        <v>328</v>
      </c>
      <c r="H49" s="18" t="s">
        <v>14</v>
      </c>
      <c r="I49" s="23">
        <v>28902</v>
      </c>
      <c r="J49" s="24">
        <v>0.87</v>
      </c>
      <c r="K49" s="18">
        <v>46</v>
      </c>
      <c r="L49" s="18" t="str">
        <v>Tidak</v>
      </c>
      <c r="M49" s="18" t="str">
        <v>Good</v>
      </c>
      <c r="N49" s="18" t="str">
        <v>Staff</v>
      </c>
      <c r="O49" s="19">
        <v>4000000</v>
      </c>
      <c r="P49" s="18">
        <v>1</v>
      </c>
      <c r="Q49" s="18">
        <v>0</v>
      </c>
      <c r="R49" s="18" t="str">
        <v>Laki-Laki</v>
      </c>
      <c r="S49" s="18">
        <v>2006</v>
      </c>
    </row>
    <row r="50" spans="1:19" x14ac:dyDescent="0.35">
      <c r="A50" s="18" t="s">
        <v>151</v>
      </c>
      <c r="B50" s="18" t="s">
        <v>152</v>
      </c>
      <c r="C50" s="18" t="s">
        <v>14</v>
      </c>
      <c r="D50" s="18" t="s">
        <v>27</v>
      </c>
      <c r="E50" s="22">
        <v>36678</v>
      </c>
      <c r="F50" s="18" t="s">
        <v>23</v>
      </c>
      <c r="G50" s="18" t="s">
        <v>327</v>
      </c>
      <c r="H50" s="18" t="s">
        <v>14</v>
      </c>
      <c r="I50" s="23">
        <v>26238</v>
      </c>
      <c r="J50" s="24">
        <v>0.71</v>
      </c>
      <c r="K50" s="18">
        <v>54</v>
      </c>
      <c r="L50" s="18" t="str">
        <v>Ya</v>
      </c>
      <c r="M50" s="18" t="str">
        <v>Good</v>
      </c>
      <c r="N50" s="18" t="str">
        <v>Senior Staff</v>
      </c>
      <c r="O50" s="19">
        <v>5000000</v>
      </c>
      <c r="P50" s="18">
        <v>1</v>
      </c>
      <c r="Q50" s="18">
        <v>0</v>
      </c>
      <c r="R50" s="18" t="str">
        <v>Perempuan</v>
      </c>
      <c r="S50" s="18">
        <v>2000</v>
      </c>
    </row>
    <row r="51" spans="1:19" x14ac:dyDescent="0.35">
      <c r="A51" s="18" t="s">
        <v>153</v>
      </c>
      <c r="B51" s="18" t="s">
        <v>154</v>
      </c>
      <c r="C51" s="18" t="s">
        <v>14</v>
      </c>
      <c r="D51" s="18" t="s">
        <v>27</v>
      </c>
      <c r="E51" s="22">
        <v>45352</v>
      </c>
      <c r="F51" s="18" t="s">
        <v>23</v>
      </c>
      <c r="G51" s="18" t="s">
        <v>328</v>
      </c>
      <c r="H51" s="18" t="s">
        <v>14</v>
      </c>
      <c r="I51" s="23">
        <v>34745</v>
      </c>
      <c r="J51" s="24">
        <v>0.66</v>
      </c>
      <c r="K51" s="18">
        <v>30</v>
      </c>
      <c r="L51" s="18" t="str">
        <v>Tidak</v>
      </c>
      <c r="M51" s="18" t="str">
        <v>Poor</v>
      </c>
      <c r="N51" s="18" t="str">
        <v>Supervisor</v>
      </c>
      <c r="O51" s="19">
        <v>7000000</v>
      </c>
      <c r="P51" s="18">
        <v>1</v>
      </c>
      <c r="Q51" s="18">
        <v>0</v>
      </c>
      <c r="R51" s="18" t="str">
        <v>Laki-Laki</v>
      </c>
      <c r="S51" s="18">
        <v>2024</v>
      </c>
    </row>
    <row r="52" spans="1:19" x14ac:dyDescent="0.35">
      <c r="A52" s="18" t="s">
        <v>155</v>
      </c>
      <c r="B52" s="18" t="s">
        <v>156</v>
      </c>
      <c r="C52" s="18" t="s">
        <v>14</v>
      </c>
      <c r="D52" s="18" t="s">
        <v>27</v>
      </c>
      <c r="E52" s="22">
        <v>45352</v>
      </c>
      <c r="F52" s="18" t="s">
        <v>23</v>
      </c>
      <c r="G52" s="18" t="s">
        <v>328</v>
      </c>
      <c r="H52" s="18" t="s">
        <v>14</v>
      </c>
      <c r="I52" s="23">
        <v>34745</v>
      </c>
      <c r="J52" s="24">
        <v>0.88</v>
      </c>
      <c r="K52" s="18">
        <v>30</v>
      </c>
      <c r="L52" s="18" t="str">
        <v>Tidak</v>
      </c>
      <c r="M52" s="18" t="str">
        <v>Good</v>
      </c>
      <c r="N52" s="18" t="str">
        <v>Staff</v>
      </c>
      <c r="O52" s="19">
        <v>4000000</v>
      </c>
      <c r="P52" s="18">
        <v>1</v>
      </c>
      <c r="Q52" s="18">
        <v>0</v>
      </c>
      <c r="R52" s="18" t="str">
        <v>Laki-Laki</v>
      </c>
      <c r="S52" s="18">
        <v>2024</v>
      </c>
    </row>
    <row r="53" spans="1:19" x14ac:dyDescent="0.35">
      <c r="A53" s="18" t="s">
        <v>157</v>
      </c>
      <c r="B53" s="18" t="s">
        <v>158</v>
      </c>
      <c r="C53" s="18" t="s">
        <v>14</v>
      </c>
      <c r="D53" s="18" t="s">
        <v>15</v>
      </c>
      <c r="E53" s="22">
        <v>43710</v>
      </c>
      <c r="F53" s="18" t="s">
        <v>23</v>
      </c>
      <c r="G53" s="18" t="s">
        <v>328</v>
      </c>
      <c r="H53" s="18" t="s">
        <v>159</v>
      </c>
      <c r="I53" s="23">
        <v>34209</v>
      </c>
      <c r="J53" s="24">
        <v>0.91</v>
      </c>
      <c r="K53" s="18">
        <v>32</v>
      </c>
      <c r="L53" s="18" t="str">
        <v>Tidak</v>
      </c>
      <c r="M53" s="18" t="str">
        <v>Good</v>
      </c>
      <c r="N53" s="18" t="str">
        <v>Senior Staff</v>
      </c>
      <c r="O53" s="19">
        <v>5000000</v>
      </c>
      <c r="P53" s="18">
        <v>1</v>
      </c>
      <c r="Q53" s="18">
        <v>5000000</v>
      </c>
      <c r="R53" s="18" t="str">
        <v>Laki-Laki</v>
      </c>
      <c r="S53" s="18">
        <v>2019</v>
      </c>
    </row>
    <row r="54" spans="1:19" x14ac:dyDescent="0.35">
      <c r="A54" s="18" t="s">
        <v>160</v>
      </c>
      <c r="B54" s="18" t="s">
        <v>161</v>
      </c>
      <c r="C54" s="18" t="s">
        <v>63</v>
      </c>
      <c r="D54" s="18" t="s">
        <v>27</v>
      </c>
      <c r="E54" s="22">
        <v>43283</v>
      </c>
      <c r="F54" s="18" t="s">
        <v>23</v>
      </c>
      <c r="G54" s="18" t="s">
        <v>328</v>
      </c>
      <c r="H54" s="18" t="s">
        <v>162</v>
      </c>
      <c r="I54" s="23">
        <v>33790</v>
      </c>
      <c r="J54" s="24">
        <v>0.79</v>
      </c>
      <c r="K54" s="18">
        <v>33</v>
      </c>
      <c r="L54" s="18" t="str">
        <v>Tidak</v>
      </c>
      <c r="M54" s="18" t="str">
        <v>Good</v>
      </c>
      <c r="N54" s="18" t="str">
        <v>Junior Manager</v>
      </c>
      <c r="O54" s="19">
        <v>12000000</v>
      </c>
      <c r="P54" s="18">
        <v>2</v>
      </c>
      <c r="Q54" s="18">
        <v>0</v>
      </c>
      <c r="R54" s="18" t="str">
        <v>Laki-Laki</v>
      </c>
      <c r="S54" s="18">
        <v>2018</v>
      </c>
    </row>
    <row r="55" spans="1:19" x14ac:dyDescent="0.35">
      <c r="A55" s="18" t="s">
        <v>163</v>
      </c>
      <c r="B55" s="18" t="s">
        <v>164</v>
      </c>
      <c r="C55" s="18" t="s">
        <v>14</v>
      </c>
      <c r="D55" s="18" t="s">
        <v>27</v>
      </c>
      <c r="E55" s="22">
        <v>45005</v>
      </c>
      <c r="F55" s="18" t="s">
        <v>23</v>
      </c>
      <c r="G55" s="18" t="s">
        <v>328</v>
      </c>
      <c r="H55" s="18" t="s">
        <v>14</v>
      </c>
      <c r="I55" s="23">
        <v>35351</v>
      </c>
      <c r="J55" s="24">
        <v>0.76</v>
      </c>
      <c r="K55" s="18">
        <v>29</v>
      </c>
      <c r="L55" s="18" t="str">
        <v>Tidak</v>
      </c>
      <c r="M55" s="18" t="str">
        <v>Good</v>
      </c>
      <c r="N55" s="18" t="str">
        <v>Staff</v>
      </c>
      <c r="O55" s="19">
        <v>4000000</v>
      </c>
      <c r="P55" s="18">
        <v>1</v>
      </c>
      <c r="Q55" s="18">
        <v>0</v>
      </c>
      <c r="R55" s="18" t="str">
        <v>Laki-Laki</v>
      </c>
      <c r="S55" s="18">
        <v>2023</v>
      </c>
    </row>
    <row r="56" spans="1:19" x14ac:dyDescent="0.35">
      <c r="A56" s="18" t="s">
        <v>165</v>
      </c>
      <c r="B56" s="18" t="s">
        <v>166</v>
      </c>
      <c r="C56" s="18" t="s">
        <v>14</v>
      </c>
      <c r="D56" s="18" t="s">
        <v>15</v>
      </c>
      <c r="E56" s="22">
        <v>42583</v>
      </c>
      <c r="F56" s="18" t="s">
        <v>23</v>
      </c>
      <c r="G56" s="18" t="s">
        <v>328</v>
      </c>
      <c r="H56" s="18" t="s">
        <v>14</v>
      </c>
      <c r="I56" s="23">
        <v>28794</v>
      </c>
      <c r="J56" s="24">
        <v>0.71</v>
      </c>
      <c r="K56" s="18">
        <v>47</v>
      </c>
      <c r="L56" s="18" t="str">
        <v>Tidak</v>
      </c>
      <c r="M56" s="18" t="str">
        <v>Good</v>
      </c>
      <c r="N56" s="18" t="str">
        <v>General Manager</v>
      </c>
      <c r="O56" s="19">
        <v>25000000</v>
      </c>
      <c r="P56" s="18">
        <v>2</v>
      </c>
      <c r="Q56" s="18">
        <v>0</v>
      </c>
      <c r="R56" s="18" t="str">
        <v>Laki-Laki</v>
      </c>
      <c r="S56" s="18">
        <v>2016</v>
      </c>
    </row>
    <row r="57" spans="1:19" x14ac:dyDescent="0.35">
      <c r="A57" s="18" t="s">
        <v>167</v>
      </c>
      <c r="B57" s="18" t="s">
        <v>168</v>
      </c>
      <c r="C57" s="18" t="s">
        <v>14</v>
      </c>
      <c r="D57" s="18" t="s">
        <v>15</v>
      </c>
      <c r="E57" s="22">
        <v>44123</v>
      </c>
      <c r="F57" s="18" t="s">
        <v>23</v>
      </c>
      <c r="G57" s="18" t="s">
        <v>328</v>
      </c>
      <c r="H57" s="18" t="s">
        <v>169</v>
      </c>
      <c r="I57" s="23">
        <v>35280</v>
      </c>
      <c r="J57" s="24">
        <v>0.75</v>
      </c>
      <c r="K57" s="18">
        <v>29</v>
      </c>
      <c r="L57" s="18" t="str">
        <v>Tidak</v>
      </c>
      <c r="M57" s="18" t="str">
        <v>Good</v>
      </c>
      <c r="N57" s="18" t="str">
        <v>General Manager</v>
      </c>
      <c r="O57" s="19">
        <v>25000000</v>
      </c>
      <c r="P57" s="18">
        <v>2</v>
      </c>
      <c r="Q57" s="18">
        <v>0</v>
      </c>
      <c r="R57" s="18" t="str">
        <v>Laki-Laki</v>
      </c>
      <c r="S57" s="18">
        <v>2020</v>
      </c>
    </row>
    <row r="58" spans="1:19" x14ac:dyDescent="0.35">
      <c r="A58" s="18" t="s">
        <v>170</v>
      </c>
      <c r="B58" s="18" t="s">
        <v>171</v>
      </c>
      <c r="C58" s="18" t="s">
        <v>14</v>
      </c>
      <c r="D58" s="18" t="s">
        <v>15</v>
      </c>
      <c r="E58" s="22">
        <v>41944</v>
      </c>
      <c r="F58" s="18" t="s">
        <v>23</v>
      </c>
      <c r="G58" s="18" t="s">
        <v>328</v>
      </c>
      <c r="H58" s="18" t="s">
        <v>29</v>
      </c>
      <c r="I58" s="23">
        <v>31377</v>
      </c>
      <c r="J58" s="24">
        <v>0.81</v>
      </c>
      <c r="K58" s="18">
        <v>40</v>
      </c>
      <c r="L58" s="18" t="str">
        <v>Tidak</v>
      </c>
      <c r="M58" s="18" t="str">
        <v>Good</v>
      </c>
      <c r="N58" s="18" t="str">
        <v>General Manager</v>
      </c>
      <c r="O58" s="19">
        <v>25000000</v>
      </c>
      <c r="P58" s="18">
        <v>2</v>
      </c>
      <c r="Q58" s="18">
        <v>0</v>
      </c>
      <c r="R58" s="18" t="str">
        <v>Laki-Laki</v>
      </c>
      <c r="S58" s="18">
        <v>2014</v>
      </c>
    </row>
    <row r="59" spans="1:19" x14ac:dyDescent="0.35">
      <c r="A59" s="18" t="s">
        <v>172</v>
      </c>
      <c r="B59" s="18" t="s">
        <v>173</v>
      </c>
      <c r="C59" s="18" t="s">
        <v>14</v>
      </c>
      <c r="D59" s="18" t="s">
        <v>27</v>
      </c>
      <c r="E59" s="22">
        <v>42705</v>
      </c>
      <c r="F59" s="18" t="s">
        <v>23</v>
      </c>
      <c r="G59" s="18" t="s">
        <v>328</v>
      </c>
      <c r="H59" s="18" t="s">
        <v>174</v>
      </c>
      <c r="I59" s="23">
        <v>32228</v>
      </c>
      <c r="J59" s="24">
        <v>1</v>
      </c>
      <c r="K59" s="18">
        <v>37</v>
      </c>
      <c r="L59" s="18" t="str">
        <v>Tidak</v>
      </c>
      <c r="M59" s="18" t="str">
        <v>Good</v>
      </c>
      <c r="N59" s="18" t="str">
        <v>Senior Staff</v>
      </c>
      <c r="O59" s="19">
        <v>5000000</v>
      </c>
      <c r="P59" s="18">
        <v>1</v>
      </c>
      <c r="Q59" s="18">
        <v>5000000</v>
      </c>
      <c r="R59" s="18" t="str">
        <v>Laki-Laki</v>
      </c>
      <c r="S59" s="18">
        <v>2016</v>
      </c>
    </row>
    <row r="60" spans="1:19" x14ac:dyDescent="0.35">
      <c r="A60" s="18" t="s">
        <v>175</v>
      </c>
      <c r="B60" s="18" t="s">
        <v>176</v>
      </c>
      <c r="C60" s="18" t="s">
        <v>14</v>
      </c>
      <c r="D60" s="18" t="s">
        <v>27</v>
      </c>
      <c r="E60" s="22">
        <v>45352</v>
      </c>
      <c r="F60" s="18" t="s">
        <v>23</v>
      </c>
      <c r="G60" s="18" t="s">
        <v>328</v>
      </c>
      <c r="H60" s="18" t="s">
        <v>14</v>
      </c>
      <c r="I60" s="23">
        <v>34687</v>
      </c>
      <c r="J60" s="24">
        <v>0.91</v>
      </c>
      <c r="K60" s="18">
        <v>31</v>
      </c>
      <c r="L60" s="18" t="str">
        <v>Tidak</v>
      </c>
      <c r="M60" s="18" t="str">
        <v>Good</v>
      </c>
      <c r="N60" s="18" t="str">
        <v>Supervisor</v>
      </c>
      <c r="O60" s="19">
        <v>7000000</v>
      </c>
      <c r="P60" s="18">
        <v>1</v>
      </c>
      <c r="Q60" s="18">
        <v>7000000</v>
      </c>
      <c r="R60" s="18" t="str">
        <v>Laki-Laki</v>
      </c>
      <c r="S60" s="18">
        <v>2024</v>
      </c>
    </row>
    <row r="61" spans="1:19" x14ac:dyDescent="0.35">
      <c r="A61" s="18" t="s">
        <v>177</v>
      </c>
      <c r="B61" s="18" t="s">
        <v>150</v>
      </c>
      <c r="C61" s="18" t="s">
        <v>14</v>
      </c>
      <c r="D61" s="18" t="s">
        <v>27</v>
      </c>
      <c r="E61" s="22">
        <v>45352</v>
      </c>
      <c r="F61" s="18" t="s">
        <v>23</v>
      </c>
      <c r="G61" s="18" t="s">
        <v>327</v>
      </c>
      <c r="H61" s="18" t="s">
        <v>14</v>
      </c>
      <c r="I61" s="23">
        <v>34687</v>
      </c>
      <c r="J61" s="24">
        <v>0.62</v>
      </c>
      <c r="K61" s="18">
        <v>31</v>
      </c>
      <c r="L61" s="18" t="str">
        <v>Tidak</v>
      </c>
      <c r="M61" s="18" t="str">
        <v>Poor</v>
      </c>
      <c r="N61" s="18" t="str">
        <v>Senior Staff</v>
      </c>
      <c r="O61" s="19">
        <v>5000000</v>
      </c>
      <c r="P61" s="18">
        <v>1</v>
      </c>
      <c r="Q61" s="18">
        <v>0</v>
      </c>
      <c r="R61" s="18" t="str">
        <v>Perempuan</v>
      </c>
      <c r="S61" s="18">
        <v>2024</v>
      </c>
    </row>
    <row r="62" spans="1:19" x14ac:dyDescent="0.35">
      <c r="A62" s="18" t="s">
        <v>178</v>
      </c>
      <c r="B62" s="18" t="s">
        <v>179</v>
      </c>
      <c r="C62" s="18" t="s">
        <v>14</v>
      </c>
      <c r="D62" s="18" t="s">
        <v>27</v>
      </c>
      <c r="E62" s="22">
        <v>42717</v>
      </c>
      <c r="F62" s="18" t="s">
        <v>23</v>
      </c>
      <c r="G62" s="18" t="s">
        <v>327</v>
      </c>
      <c r="H62" s="18" t="s">
        <v>180</v>
      </c>
      <c r="I62" s="23">
        <v>32191</v>
      </c>
      <c r="J62" s="24">
        <v>0.72</v>
      </c>
      <c r="K62" s="18">
        <v>37</v>
      </c>
      <c r="L62" s="18" t="str">
        <v>Tidak</v>
      </c>
      <c r="M62" s="18" t="str">
        <v>Good</v>
      </c>
      <c r="N62" s="18" t="str">
        <v>Senior Staff</v>
      </c>
      <c r="O62" s="19">
        <v>5000000</v>
      </c>
      <c r="P62" s="18">
        <v>1</v>
      </c>
      <c r="Q62" s="18">
        <v>0</v>
      </c>
      <c r="R62" s="18" t="str">
        <v>Perempuan</v>
      </c>
      <c r="S62" s="18">
        <v>2016</v>
      </c>
    </row>
    <row r="63" spans="1:19" x14ac:dyDescent="0.35">
      <c r="A63" s="18" t="s">
        <v>181</v>
      </c>
      <c r="B63" s="18" t="s">
        <v>182</v>
      </c>
      <c r="C63" s="18" t="s">
        <v>14</v>
      </c>
      <c r="D63" s="18" t="s">
        <v>27</v>
      </c>
      <c r="E63" s="22">
        <v>38057</v>
      </c>
      <c r="F63" s="18" t="s">
        <v>23</v>
      </c>
      <c r="G63" s="18" t="s">
        <v>328</v>
      </c>
      <c r="H63" s="18" t="s">
        <v>14</v>
      </c>
      <c r="I63" s="23">
        <v>28067</v>
      </c>
      <c r="J63" s="24">
        <v>0.77</v>
      </c>
      <c r="K63" s="18">
        <v>49</v>
      </c>
      <c r="L63" s="18" t="str">
        <v>Tidak</v>
      </c>
      <c r="M63" s="18" t="str">
        <v>Good</v>
      </c>
      <c r="N63" s="18" t="str">
        <v>Staff</v>
      </c>
      <c r="O63" s="19">
        <v>4000000</v>
      </c>
      <c r="P63" s="18">
        <v>1</v>
      </c>
      <c r="Q63" s="18">
        <v>0</v>
      </c>
      <c r="R63" s="18" t="str">
        <v>Laki-Laki</v>
      </c>
      <c r="S63" s="18">
        <v>2004</v>
      </c>
    </row>
    <row r="64" spans="1:19" x14ac:dyDescent="0.35">
      <c r="A64" s="18" t="s">
        <v>183</v>
      </c>
      <c r="B64" s="18" t="s">
        <v>184</v>
      </c>
      <c r="C64" s="18" t="s">
        <v>14</v>
      </c>
      <c r="D64" s="18" t="s">
        <v>27</v>
      </c>
      <c r="E64" s="22">
        <v>41162</v>
      </c>
      <c r="F64" s="18" t="s">
        <v>23</v>
      </c>
      <c r="G64" s="18" t="s">
        <v>328</v>
      </c>
      <c r="H64" s="18" t="s">
        <v>71</v>
      </c>
      <c r="I64" s="23">
        <v>32984</v>
      </c>
      <c r="J64" s="24">
        <v>0.65</v>
      </c>
      <c r="K64" s="18">
        <v>35</v>
      </c>
      <c r="L64" s="18" t="str">
        <v>Tidak</v>
      </c>
      <c r="M64" s="18" t="str">
        <v>Poor</v>
      </c>
      <c r="N64" s="18" t="str">
        <v>Senior Staff</v>
      </c>
      <c r="O64" s="19">
        <v>5000000</v>
      </c>
      <c r="P64" s="18">
        <v>1</v>
      </c>
      <c r="Q64" s="18">
        <v>0</v>
      </c>
      <c r="R64" s="18" t="str">
        <v>Laki-Laki</v>
      </c>
      <c r="S64" s="18">
        <v>2012</v>
      </c>
    </row>
    <row r="65" spans="1:19" x14ac:dyDescent="0.35">
      <c r="A65" s="18" t="s">
        <v>185</v>
      </c>
      <c r="B65" s="18" t="s">
        <v>129</v>
      </c>
      <c r="C65" s="18" t="s">
        <v>14</v>
      </c>
      <c r="D65" s="18" t="s">
        <v>27</v>
      </c>
      <c r="E65" s="22">
        <v>44958</v>
      </c>
      <c r="F65" s="18" t="s">
        <v>23</v>
      </c>
      <c r="G65" s="18" t="s">
        <v>328</v>
      </c>
      <c r="H65" s="18" t="s">
        <v>97</v>
      </c>
      <c r="I65" s="23">
        <v>31603</v>
      </c>
      <c r="J65" s="24">
        <v>0.78</v>
      </c>
      <c r="K65" s="18">
        <v>39</v>
      </c>
      <c r="L65" s="18" t="str">
        <v>Tidak</v>
      </c>
      <c r="M65" s="18" t="str">
        <v>Good</v>
      </c>
      <c r="N65" s="18" t="str">
        <v>Junior Manager</v>
      </c>
      <c r="O65" s="19">
        <v>12000000</v>
      </c>
      <c r="P65" s="18">
        <v>2</v>
      </c>
      <c r="Q65" s="18">
        <v>0</v>
      </c>
      <c r="R65" s="18" t="str">
        <v>Laki-Laki</v>
      </c>
      <c r="S65" s="18">
        <v>2023</v>
      </c>
    </row>
    <row r="66" spans="1:19" x14ac:dyDescent="0.35">
      <c r="A66" s="18" t="s">
        <v>186</v>
      </c>
      <c r="B66" s="18" t="s">
        <v>187</v>
      </c>
      <c r="C66" s="18" t="s">
        <v>14</v>
      </c>
      <c r="D66" s="18" t="s">
        <v>27</v>
      </c>
      <c r="E66" s="22">
        <v>42401</v>
      </c>
      <c r="F66" s="18" t="s">
        <v>23</v>
      </c>
      <c r="G66" s="18" t="s">
        <v>328</v>
      </c>
      <c r="H66" s="18" t="s">
        <v>46</v>
      </c>
      <c r="I66" s="23">
        <v>26236</v>
      </c>
      <c r="J66" s="24">
        <v>0.71</v>
      </c>
      <c r="K66" s="18">
        <v>54</v>
      </c>
      <c r="L66" s="18" t="str">
        <v>Ya</v>
      </c>
      <c r="M66" s="18" t="str">
        <v>Good</v>
      </c>
      <c r="N66" s="18" t="str">
        <v>Senior Staff</v>
      </c>
      <c r="O66" s="19">
        <v>5000000</v>
      </c>
      <c r="P66" s="18">
        <v>1</v>
      </c>
      <c r="Q66" s="18">
        <v>0</v>
      </c>
      <c r="R66" s="18" t="str">
        <v>Laki-Laki</v>
      </c>
      <c r="S66" s="18">
        <v>2016</v>
      </c>
    </row>
    <row r="67" spans="1:19" x14ac:dyDescent="0.35">
      <c r="A67" s="18" t="s">
        <v>188</v>
      </c>
      <c r="B67" s="18" t="s">
        <v>189</v>
      </c>
      <c r="C67" s="18" t="s">
        <v>14</v>
      </c>
      <c r="D67" s="18" t="s">
        <v>27</v>
      </c>
      <c r="E67" s="22">
        <v>42401</v>
      </c>
      <c r="F67" s="18" t="s">
        <v>23</v>
      </c>
      <c r="G67" s="18" t="s">
        <v>327</v>
      </c>
      <c r="H67" s="18" t="s">
        <v>190</v>
      </c>
      <c r="I67" s="23">
        <v>31420</v>
      </c>
      <c r="J67" s="24">
        <v>0.63</v>
      </c>
      <c r="K67" s="18">
        <v>39</v>
      </c>
      <c r="L67" s="18" t="str">
        <v>Tidak</v>
      </c>
      <c r="M67" s="18" t="str">
        <v>Poor</v>
      </c>
      <c r="N67" s="18" t="str">
        <v>Senior Staff</v>
      </c>
      <c r="O67" s="19">
        <v>5000000</v>
      </c>
      <c r="P67" s="18">
        <v>1</v>
      </c>
      <c r="Q67" s="18">
        <v>0</v>
      </c>
      <c r="R67" s="18" t="str">
        <v>Perempuan</v>
      </c>
      <c r="S67" s="18">
        <v>2016</v>
      </c>
    </row>
    <row r="68" spans="1:19" x14ac:dyDescent="0.35">
      <c r="A68" s="18" t="s">
        <v>191</v>
      </c>
      <c r="B68" s="18" t="s">
        <v>192</v>
      </c>
      <c r="C68" s="18" t="s">
        <v>14</v>
      </c>
      <c r="D68" s="18" t="s">
        <v>27</v>
      </c>
      <c r="E68" s="22">
        <v>44013</v>
      </c>
      <c r="F68" s="18" t="s">
        <v>23</v>
      </c>
      <c r="G68" s="18" t="s">
        <v>328</v>
      </c>
      <c r="H68" s="18" t="s">
        <v>14</v>
      </c>
      <c r="I68" s="23">
        <v>33985</v>
      </c>
      <c r="J68" s="24">
        <v>0.72</v>
      </c>
      <c r="K68" s="18">
        <v>32</v>
      </c>
      <c r="L68" s="18" t="str">
        <v>Tidak</v>
      </c>
      <c r="M68" s="18" t="str">
        <v>Good</v>
      </c>
      <c r="N68" s="18" t="str">
        <v>Senior Staff</v>
      </c>
      <c r="O68" s="19">
        <v>5000000</v>
      </c>
      <c r="P68" s="18">
        <v>1</v>
      </c>
      <c r="Q68" s="18">
        <v>0</v>
      </c>
      <c r="R68" s="18" t="str">
        <v>Laki-Laki</v>
      </c>
      <c r="S68" s="18">
        <v>2020</v>
      </c>
    </row>
    <row r="69" spans="1:19" x14ac:dyDescent="0.35">
      <c r="A69" s="18" t="s">
        <v>193</v>
      </c>
      <c r="B69" s="18" t="s">
        <v>194</v>
      </c>
      <c r="C69" s="18" t="s">
        <v>14</v>
      </c>
      <c r="D69" s="18" t="s">
        <v>27</v>
      </c>
      <c r="E69" s="22">
        <v>36647</v>
      </c>
      <c r="F69" s="18" t="s">
        <v>23</v>
      </c>
      <c r="G69" s="18" t="s">
        <v>327</v>
      </c>
      <c r="H69" s="18" t="s">
        <v>24</v>
      </c>
      <c r="I69" s="23">
        <v>25717</v>
      </c>
      <c r="J69" s="24">
        <v>0.91</v>
      </c>
      <c r="K69" s="18">
        <v>55</v>
      </c>
      <c r="L69" s="18" t="str">
        <v>Ya</v>
      </c>
      <c r="M69" s="18" t="str">
        <v>Good</v>
      </c>
      <c r="N69" s="18" t="str">
        <v>Supervisor</v>
      </c>
      <c r="O69" s="19">
        <v>7000000</v>
      </c>
      <c r="P69" s="18">
        <v>1</v>
      </c>
      <c r="Q69" s="18">
        <v>7000000</v>
      </c>
      <c r="R69" s="18" t="str">
        <v>Perempuan</v>
      </c>
      <c r="S69" s="18">
        <v>2000</v>
      </c>
    </row>
    <row r="70" spans="1:19" x14ac:dyDescent="0.35">
      <c r="A70" s="18" t="s">
        <v>195</v>
      </c>
      <c r="B70" s="18" t="s">
        <v>196</v>
      </c>
      <c r="C70" s="18" t="s">
        <v>14</v>
      </c>
      <c r="D70" s="18" t="s">
        <v>27</v>
      </c>
      <c r="E70" s="22">
        <v>43227</v>
      </c>
      <c r="F70" s="18" t="s">
        <v>23</v>
      </c>
      <c r="G70" s="18" t="s">
        <v>328</v>
      </c>
      <c r="H70" s="18" t="s">
        <v>14</v>
      </c>
      <c r="I70" s="23">
        <v>34314</v>
      </c>
      <c r="J70" s="24">
        <v>0.66</v>
      </c>
      <c r="K70" s="18">
        <v>32</v>
      </c>
      <c r="L70" s="18" t="str">
        <v>Tidak</v>
      </c>
      <c r="M70" s="18" t="str">
        <v>Poor</v>
      </c>
      <c r="N70" s="18" t="str">
        <v>Staff</v>
      </c>
      <c r="O70" s="19">
        <v>4000000</v>
      </c>
      <c r="P70" s="18">
        <v>1</v>
      </c>
      <c r="Q70" s="18">
        <v>0</v>
      </c>
      <c r="R70" s="18" t="str">
        <v>Laki-Laki</v>
      </c>
      <c r="S70" s="18">
        <v>2018</v>
      </c>
    </row>
    <row r="71" spans="1:19" x14ac:dyDescent="0.35">
      <c r="A71" s="18" t="s">
        <v>197</v>
      </c>
      <c r="B71" s="18" t="s">
        <v>198</v>
      </c>
      <c r="C71" s="18" t="s">
        <v>14</v>
      </c>
      <c r="D71" s="18" t="s">
        <v>27</v>
      </c>
      <c r="E71" s="22">
        <v>44641</v>
      </c>
      <c r="F71" s="18" t="s">
        <v>23</v>
      </c>
      <c r="G71" s="18" t="s">
        <v>327</v>
      </c>
      <c r="H71" s="18" t="s">
        <v>199</v>
      </c>
      <c r="I71" s="23">
        <v>34896</v>
      </c>
      <c r="J71" s="24">
        <v>0.88</v>
      </c>
      <c r="K71" s="18">
        <v>30</v>
      </c>
      <c r="L71" s="18" t="str">
        <v>Tidak</v>
      </c>
      <c r="M71" s="18" t="str">
        <v>Good</v>
      </c>
      <c r="N71" s="18" t="str">
        <v>Staff</v>
      </c>
      <c r="O71" s="19">
        <v>4000000</v>
      </c>
      <c r="P71" s="18">
        <v>1</v>
      </c>
      <c r="Q71" s="18">
        <v>0</v>
      </c>
      <c r="R71" s="18" t="str">
        <v>Perempuan</v>
      </c>
      <c r="S71" s="18">
        <v>2022</v>
      </c>
    </row>
    <row r="72" spans="1:19" x14ac:dyDescent="0.35">
      <c r="A72" s="18" t="s">
        <v>200</v>
      </c>
      <c r="B72" s="18" t="s">
        <v>201</v>
      </c>
      <c r="C72" s="18" t="s">
        <v>14</v>
      </c>
      <c r="D72" s="18" t="s">
        <v>27</v>
      </c>
      <c r="E72" s="22">
        <v>38930</v>
      </c>
      <c r="F72" s="18" t="s">
        <v>23</v>
      </c>
      <c r="G72" s="18" t="s">
        <v>328</v>
      </c>
      <c r="H72" s="18" t="s">
        <v>24</v>
      </c>
      <c r="I72" s="23">
        <v>29101</v>
      </c>
      <c r="J72" s="24">
        <v>0.96</v>
      </c>
      <c r="K72" s="18">
        <v>46</v>
      </c>
      <c r="L72" s="18" t="str">
        <v>Tidak</v>
      </c>
      <c r="M72" s="18" t="str">
        <v>Good</v>
      </c>
      <c r="N72" s="18" t="str">
        <v>Supervisor</v>
      </c>
      <c r="O72" s="19">
        <v>7000000</v>
      </c>
      <c r="P72" s="18">
        <v>1</v>
      </c>
      <c r="Q72" s="18">
        <v>7000000</v>
      </c>
      <c r="R72" s="18" t="str">
        <v>Laki-Laki</v>
      </c>
      <c r="S72" s="18">
        <v>2006</v>
      </c>
    </row>
    <row r="73" spans="1:19" x14ac:dyDescent="0.35">
      <c r="A73" s="18" t="s">
        <v>202</v>
      </c>
      <c r="B73" s="18" t="s">
        <v>203</v>
      </c>
      <c r="C73" s="18" t="s">
        <v>14</v>
      </c>
      <c r="D73" s="18" t="s">
        <v>15</v>
      </c>
      <c r="E73" s="22">
        <v>43626</v>
      </c>
      <c r="F73" s="18" t="s">
        <v>23</v>
      </c>
      <c r="G73" s="18" t="s">
        <v>328</v>
      </c>
      <c r="H73" s="18" t="s">
        <v>205</v>
      </c>
      <c r="I73" s="23">
        <v>34411</v>
      </c>
      <c r="J73" s="24">
        <v>0.82</v>
      </c>
      <c r="K73" s="18">
        <v>31</v>
      </c>
      <c r="L73" s="18" t="str">
        <v>Tidak</v>
      </c>
      <c r="M73" s="18" t="str">
        <v>Good</v>
      </c>
      <c r="N73" s="18" t="str">
        <v>Staff</v>
      </c>
      <c r="O73" s="19">
        <v>4000000</v>
      </c>
      <c r="P73" s="18">
        <v>1</v>
      </c>
      <c r="Q73" s="18">
        <v>0</v>
      </c>
      <c r="R73" s="18" t="str">
        <v>Laki-Laki</v>
      </c>
      <c r="S73" s="18">
        <v>2019</v>
      </c>
    </row>
    <row r="74" spans="1:19" x14ac:dyDescent="0.35">
      <c r="A74" s="18" t="s">
        <v>206</v>
      </c>
      <c r="B74" s="18" t="s">
        <v>207</v>
      </c>
      <c r="C74" s="18" t="s">
        <v>14</v>
      </c>
      <c r="D74" s="18" t="s">
        <v>15</v>
      </c>
      <c r="E74" s="22">
        <v>44809</v>
      </c>
      <c r="F74" s="18" t="s">
        <v>23</v>
      </c>
      <c r="G74" s="18" t="s">
        <v>327</v>
      </c>
      <c r="H74" s="18" t="s">
        <v>29</v>
      </c>
      <c r="I74" s="23">
        <v>35671</v>
      </c>
      <c r="J74" s="24">
        <v>0.68</v>
      </c>
      <c r="K74" s="18">
        <v>28</v>
      </c>
      <c r="L74" s="18" t="str">
        <v>Tidak</v>
      </c>
      <c r="M74" s="18" t="str">
        <v>Poor</v>
      </c>
      <c r="N74" s="18" t="str">
        <v>Staff</v>
      </c>
      <c r="O74" s="19">
        <v>4000000</v>
      </c>
      <c r="P74" s="18">
        <v>1</v>
      </c>
      <c r="Q74" s="18">
        <v>0</v>
      </c>
      <c r="R74" s="18" t="str">
        <v>Perempuan</v>
      </c>
      <c r="S74" s="18">
        <v>2022</v>
      </c>
    </row>
    <row r="75" spans="1:19" x14ac:dyDescent="0.35">
      <c r="A75" s="18" t="s">
        <v>208</v>
      </c>
      <c r="B75" s="18" t="s">
        <v>209</v>
      </c>
      <c r="C75" s="18" t="s">
        <v>14</v>
      </c>
      <c r="D75" s="18" t="s">
        <v>27</v>
      </c>
      <c r="E75" s="22">
        <v>42933</v>
      </c>
      <c r="F75" s="18" t="s">
        <v>23</v>
      </c>
      <c r="G75" s="18" t="s">
        <v>328</v>
      </c>
      <c r="H75" s="18" t="s">
        <v>14</v>
      </c>
      <c r="I75" s="23">
        <v>34249</v>
      </c>
      <c r="J75" s="24">
        <v>0.83</v>
      </c>
      <c r="K75" s="18">
        <v>32</v>
      </c>
      <c r="L75" s="18" t="str">
        <v>Tidak</v>
      </c>
      <c r="M75" s="18" t="str">
        <v>Good</v>
      </c>
      <c r="N75" s="18" t="str">
        <v>Staff</v>
      </c>
      <c r="O75" s="19">
        <v>4000000</v>
      </c>
      <c r="P75" s="18">
        <v>1</v>
      </c>
      <c r="Q75" s="18">
        <v>0</v>
      </c>
      <c r="R75" s="18" t="str">
        <v>Laki-Laki</v>
      </c>
      <c r="S75" s="18">
        <v>2017</v>
      </c>
    </row>
    <row r="76" spans="1:19" x14ac:dyDescent="0.35">
      <c r="A76" s="18" t="s">
        <v>210</v>
      </c>
      <c r="B76" s="18" t="s">
        <v>211</v>
      </c>
      <c r="C76" s="18" t="s">
        <v>14</v>
      </c>
      <c r="D76" s="18" t="s">
        <v>27</v>
      </c>
      <c r="E76" s="22">
        <v>42933</v>
      </c>
      <c r="F76" s="18" t="s">
        <v>23</v>
      </c>
      <c r="G76" s="18" t="s">
        <v>327</v>
      </c>
      <c r="H76" s="18" t="s">
        <v>14</v>
      </c>
      <c r="I76" s="23">
        <v>34249</v>
      </c>
      <c r="J76" s="24">
        <v>0.66</v>
      </c>
      <c r="K76" s="18">
        <v>32</v>
      </c>
      <c r="L76" s="18" t="str">
        <v>Tidak</v>
      </c>
      <c r="M76" s="18" t="str">
        <v>Poor</v>
      </c>
      <c r="N76" s="18" t="str">
        <v>Senior Staff</v>
      </c>
      <c r="O76" s="19">
        <v>5000000</v>
      </c>
      <c r="P76" s="18">
        <v>1</v>
      </c>
      <c r="Q76" s="18">
        <v>0</v>
      </c>
      <c r="R76" s="18" t="str">
        <v>Perempuan</v>
      </c>
      <c r="S76" s="18">
        <v>2017</v>
      </c>
    </row>
    <row r="77" spans="1:19" x14ac:dyDescent="0.35">
      <c r="A77" s="18" t="s">
        <v>212</v>
      </c>
      <c r="B77" s="18" t="s">
        <v>213</v>
      </c>
      <c r="C77" s="18" t="s">
        <v>14</v>
      </c>
      <c r="D77" s="18" t="s">
        <v>27</v>
      </c>
      <c r="E77" s="22">
        <v>43440</v>
      </c>
      <c r="F77" s="18" t="s">
        <v>23</v>
      </c>
      <c r="G77" s="18" t="s">
        <v>328</v>
      </c>
      <c r="H77" s="18" t="s">
        <v>214</v>
      </c>
      <c r="I77" s="23">
        <v>33913</v>
      </c>
      <c r="J77" s="24">
        <v>0.65</v>
      </c>
      <c r="K77" s="18">
        <v>33</v>
      </c>
      <c r="L77" s="18" t="str">
        <v>Tidak</v>
      </c>
      <c r="M77" s="18" t="str">
        <v>Poor</v>
      </c>
      <c r="N77" s="18" t="str">
        <v>Senior Staff</v>
      </c>
      <c r="O77" s="19">
        <v>5000000</v>
      </c>
      <c r="P77" s="18">
        <v>1</v>
      </c>
      <c r="Q77" s="18">
        <v>0</v>
      </c>
      <c r="R77" s="18" t="str">
        <v>Laki-Laki</v>
      </c>
      <c r="S77" s="18">
        <v>2018</v>
      </c>
    </row>
    <row r="78" spans="1:19" x14ac:dyDescent="0.35">
      <c r="A78" s="18" t="s">
        <v>215</v>
      </c>
      <c r="B78" s="18" t="s">
        <v>216</v>
      </c>
      <c r="C78" s="18" t="s">
        <v>14</v>
      </c>
      <c r="D78" s="18" t="s">
        <v>15</v>
      </c>
      <c r="E78" s="22">
        <v>36598</v>
      </c>
      <c r="F78" s="18" t="s">
        <v>23</v>
      </c>
      <c r="G78" s="18" t="s">
        <v>328</v>
      </c>
      <c r="H78" s="18" t="s">
        <v>217</v>
      </c>
      <c r="I78" s="23">
        <v>28190</v>
      </c>
      <c r="J78" s="24">
        <v>0.63</v>
      </c>
      <c r="K78" s="18">
        <v>48</v>
      </c>
      <c r="L78" s="18" t="str">
        <v>Tidak</v>
      </c>
      <c r="M78" s="18" t="str">
        <v>Poor</v>
      </c>
      <c r="N78" s="18" t="str">
        <v>Staff</v>
      </c>
      <c r="O78" s="19">
        <v>4000000</v>
      </c>
      <c r="P78" s="18">
        <v>1</v>
      </c>
      <c r="Q78" s="18">
        <v>0</v>
      </c>
      <c r="R78" s="18" t="str">
        <v>Laki-Laki</v>
      </c>
      <c r="S78" s="18">
        <v>2000</v>
      </c>
    </row>
    <row r="79" spans="1:19" x14ac:dyDescent="0.35">
      <c r="A79" s="18" t="s">
        <v>218</v>
      </c>
      <c r="B79" s="18" t="s">
        <v>219</v>
      </c>
      <c r="C79" s="18" t="s">
        <v>14</v>
      </c>
      <c r="D79" s="18" t="s">
        <v>15</v>
      </c>
      <c r="E79" s="22">
        <v>42919</v>
      </c>
      <c r="F79" s="18" t="s">
        <v>23</v>
      </c>
      <c r="G79" s="18" t="s">
        <v>327</v>
      </c>
      <c r="H79" s="18" t="s">
        <v>14</v>
      </c>
      <c r="I79" s="23">
        <v>32112</v>
      </c>
      <c r="J79" s="24">
        <v>0.8</v>
      </c>
      <c r="K79" s="18">
        <v>38</v>
      </c>
      <c r="L79" s="18" t="str">
        <v>Tidak</v>
      </c>
      <c r="M79" s="18" t="str">
        <v>Good</v>
      </c>
      <c r="N79" s="18" t="str">
        <v>Staff</v>
      </c>
      <c r="O79" s="19">
        <v>4000000</v>
      </c>
      <c r="P79" s="18">
        <v>1</v>
      </c>
      <c r="Q79" s="18">
        <v>0</v>
      </c>
      <c r="R79" s="18" t="str">
        <v>Perempuan</v>
      </c>
      <c r="S79" s="18">
        <v>2017</v>
      </c>
    </row>
    <row r="80" spans="1:19" x14ac:dyDescent="0.35">
      <c r="A80" s="18" t="s">
        <v>220</v>
      </c>
      <c r="B80" s="18" t="s">
        <v>221</v>
      </c>
      <c r="C80" s="18" t="s">
        <v>14</v>
      </c>
      <c r="D80" s="18" t="s">
        <v>27</v>
      </c>
      <c r="E80" s="22">
        <v>43627</v>
      </c>
      <c r="F80" s="18" t="s">
        <v>23</v>
      </c>
      <c r="G80" s="18" t="s">
        <v>327</v>
      </c>
      <c r="H80" s="18" t="s">
        <v>14</v>
      </c>
      <c r="I80" s="23">
        <v>34370</v>
      </c>
      <c r="J80" s="24">
        <v>0.81</v>
      </c>
      <c r="K80" s="18">
        <v>31</v>
      </c>
      <c r="L80" s="18" t="str">
        <v>Tidak</v>
      </c>
      <c r="M80" s="18" t="str">
        <v>Good</v>
      </c>
      <c r="N80" s="18" t="str">
        <v>Senior Staff</v>
      </c>
      <c r="O80" s="19">
        <v>5000000</v>
      </c>
      <c r="P80" s="18">
        <v>1</v>
      </c>
      <c r="Q80" s="18">
        <v>0</v>
      </c>
      <c r="R80" s="18" t="str">
        <v>Perempuan</v>
      </c>
      <c r="S80" s="18">
        <v>2019</v>
      </c>
    </row>
    <row r="81" spans="1:19" x14ac:dyDescent="0.35">
      <c r="A81" s="18" t="s">
        <v>222</v>
      </c>
      <c r="B81" s="18" t="s">
        <v>223</v>
      </c>
      <c r="C81" s="18" t="s">
        <v>14</v>
      </c>
      <c r="D81" s="18" t="s">
        <v>27</v>
      </c>
      <c r="E81" s="22">
        <v>39741</v>
      </c>
      <c r="F81" s="18" t="s">
        <v>23</v>
      </c>
      <c r="G81" s="18" t="s">
        <v>327</v>
      </c>
      <c r="H81" s="18" t="s">
        <v>14</v>
      </c>
      <c r="I81" s="23">
        <v>31287</v>
      </c>
      <c r="J81" s="24">
        <v>0.74</v>
      </c>
      <c r="K81" s="18">
        <v>40</v>
      </c>
      <c r="L81" s="18" t="str">
        <v>Tidak</v>
      </c>
      <c r="M81" s="18" t="str">
        <v>Good</v>
      </c>
      <c r="N81" s="18" t="str">
        <v>Senior Staff</v>
      </c>
      <c r="O81" s="19">
        <v>5000000</v>
      </c>
      <c r="P81" s="18">
        <v>1</v>
      </c>
      <c r="Q81" s="18">
        <v>0</v>
      </c>
      <c r="R81" s="18" t="str">
        <v>Perempuan</v>
      </c>
      <c r="S81" s="18">
        <v>2008</v>
      </c>
    </row>
    <row r="82" spans="1:19" x14ac:dyDescent="0.35">
      <c r="A82" s="18" t="s">
        <v>225</v>
      </c>
      <c r="B82" s="18" t="s">
        <v>226</v>
      </c>
      <c r="C82" s="18" t="s">
        <v>14</v>
      </c>
      <c r="D82" s="18" t="s">
        <v>27</v>
      </c>
      <c r="E82" s="22">
        <v>42065</v>
      </c>
      <c r="F82" s="18" t="s">
        <v>23</v>
      </c>
      <c r="G82" s="18" t="s">
        <v>327</v>
      </c>
      <c r="H82" s="18" t="s">
        <v>14</v>
      </c>
      <c r="I82" s="23">
        <v>32809</v>
      </c>
      <c r="J82" s="24">
        <v>1</v>
      </c>
      <c r="K82" s="18">
        <v>36</v>
      </c>
      <c r="L82" s="18" t="str">
        <v>Tidak</v>
      </c>
      <c r="M82" s="18" t="str">
        <v>Good</v>
      </c>
      <c r="N82" s="18" t="str">
        <v>Staff</v>
      </c>
      <c r="O82" s="19">
        <v>4000000</v>
      </c>
      <c r="P82" s="18">
        <v>1</v>
      </c>
      <c r="Q82" s="18">
        <v>4000000</v>
      </c>
      <c r="R82" s="18" t="str">
        <v>Perempuan</v>
      </c>
      <c r="S82" s="18">
        <v>2015</v>
      </c>
    </row>
    <row r="83" spans="1:19" x14ac:dyDescent="0.35">
      <c r="A83" s="18" t="s">
        <v>227</v>
      </c>
      <c r="B83" s="18" t="s">
        <v>228</v>
      </c>
      <c r="C83" s="18" t="s">
        <v>14</v>
      </c>
      <c r="D83" s="18" t="s">
        <v>27</v>
      </c>
      <c r="E83" s="22">
        <v>41365</v>
      </c>
      <c r="F83" s="18" t="s">
        <v>23</v>
      </c>
      <c r="G83" s="18" t="s">
        <v>327</v>
      </c>
      <c r="H83" s="18" t="s">
        <v>24</v>
      </c>
      <c r="I83" s="23">
        <v>31279</v>
      </c>
      <c r="J83" s="24">
        <v>0.6</v>
      </c>
      <c r="K83" s="18">
        <v>40</v>
      </c>
      <c r="L83" s="18" t="str">
        <v>Tidak</v>
      </c>
      <c r="M83" s="18" t="str">
        <v>Poor</v>
      </c>
      <c r="N83" s="18" t="str">
        <v>Supervisor</v>
      </c>
      <c r="O83" s="19">
        <v>7000000</v>
      </c>
      <c r="P83" s="18">
        <v>1</v>
      </c>
      <c r="Q83" s="18">
        <v>0</v>
      </c>
      <c r="R83" s="18" t="str">
        <v>Perempuan</v>
      </c>
      <c r="S83" s="18">
        <v>2013</v>
      </c>
    </row>
    <row r="84" spans="1:19" x14ac:dyDescent="0.35">
      <c r="A84" s="18" t="s">
        <v>230</v>
      </c>
      <c r="B84" s="18" t="s">
        <v>231</v>
      </c>
      <c r="C84" s="18" t="s">
        <v>14</v>
      </c>
      <c r="D84" s="18" t="s">
        <v>27</v>
      </c>
      <c r="E84" s="22">
        <v>39167</v>
      </c>
      <c r="F84" s="18" t="s">
        <v>23</v>
      </c>
      <c r="G84" s="18" t="s">
        <v>327</v>
      </c>
      <c r="H84" s="18" t="s">
        <v>233</v>
      </c>
      <c r="I84" s="23">
        <v>30512</v>
      </c>
      <c r="J84" s="24">
        <v>0.67</v>
      </c>
      <c r="K84" s="18">
        <v>42</v>
      </c>
      <c r="L84" s="18" t="str">
        <v>Tidak</v>
      </c>
      <c r="M84" s="18" t="str">
        <v>Poor</v>
      </c>
      <c r="N84" s="18" t="str">
        <v>Supervisor</v>
      </c>
      <c r="O84" s="19">
        <v>7000000</v>
      </c>
      <c r="P84" s="18">
        <v>1</v>
      </c>
      <c r="Q84" s="18">
        <v>0</v>
      </c>
      <c r="R84" s="18" t="str">
        <v>Perempuan</v>
      </c>
      <c r="S84" s="18">
        <v>2007</v>
      </c>
    </row>
    <row r="85" spans="1:19" x14ac:dyDescent="0.35">
      <c r="A85" s="18" t="s">
        <v>234</v>
      </c>
      <c r="B85" s="18" t="s">
        <v>235</v>
      </c>
      <c r="C85" s="18" t="s">
        <v>14</v>
      </c>
      <c r="D85" s="18" t="s">
        <v>27</v>
      </c>
      <c r="E85" s="22">
        <v>44594</v>
      </c>
      <c r="F85" s="18" t="s">
        <v>23</v>
      </c>
      <c r="G85" s="18" t="s">
        <v>327</v>
      </c>
      <c r="H85" s="18" t="s">
        <v>236</v>
      </c>
      <c r="I85" s="23">
        <v>33168</v>
      </c>
      <c r="J85" s="24">
        <v>0.83</v>
      </c>
      <c r="K85" s="18">
        <v>35</v>
      </c>
      <c r="L85" s="18" t="str">
        <v>Tidak</v>
      </c>
      <c r="M85" s="18" t="str">
        <v>Good</v>
      </c>
      <c r="N85" s="18" t="str">
        <v>Senior Staff</v>
      </c>
      <c r="O85" s="19">
        <v>5000000</v>
      </c>
      <c r="P85" s="18">
        <v>1</v>
      </c>
      <c r="Q85" s="18">
        <v>0</v>
      </c>
      <c r="R85" s="18" t="str">
        <v>Perempuan</v>
      </c>
      <c r="S85" s="18">
        <v>2022</v>
      </c>
    </row>
    <row r="86" spans="1:19" x14ac:dyDescent="0.35">
      <c r="A86" s="18" t="s">
        <v>237</v>
      </c>
      <c r="B86" s="18" t="s">
        <v>238</v>
      </c>
      <c r="C86" s="18" t="s">
        <v>14</v>
      </c>
      <c r="D86" s="18" t="s">
        <v>15</v>
      </c>
      <c r="E86" s="22">
        <v>44858</v>
      </c>
      <c r="F86" s="18" t="s">
        <v>23</v>
      </c>
      <c r="G86" s="18" t="s">
        <v>327</v>
      </c>
      <c r="H86" s="18" t="s">
        <v>159</v>
      </c>
      <c r="I86" s="23">
        <v>36058</v>
      </c>
      <c r="J86" s="24">
        <v>0.61</v>
      </c>
      <c r="K86" s="18">
        <v>27</v>
      </c>
      <c r="L86" s="18" t="str">
        <v>Tidak</v>
      </c>
      <c r="M86" s="18" t="str">
        <v>Poor</v>
      </c>
      <c r="N86" s="18" t="str">
        <v>Senior Staff</v>
      </c>
      <c r="O86" s="19">
        <v>5000000</v>
      </c>
      <c r="P86" s="18">
        <v>1</v>
      </c>
      <c r="Q86" s="18">
        <v>0</v>
      </c>
      <c r="R86" s="18" t="str">
        <v>Perempuan</v>
      </c>
      <c r="S86" s="18">
        <v>2022</v>
      </c>
    </row>
    <row r="87" spans="1:19" x14ac:dyDescent="0.35">
      <c r="A87" s="18" t="s">
        <v>240</v>
      </c>
      <c r="B87" s="18" t="s">
        <v>241</v>
      </c>
      <c r="C87" s="18" t="s">
        <v>14</v>
      </c>
      <c r="D87" s="18" t="s">
        <v>27</v>
      </c>
      <c r="E87" s="22">
        <v>38869</v>
      </c>
      <c r="F87" s="18" t="s">
        <v>23</v>
      </c>
      <c r="G87" s="18" t="s">
        <v>327</v>
      </c>
      <c r="H87" s="18" t="s">
        <v>14</v>
      </c>
      <c r="I87" s="23">
        <v>28691</v>
      </c>
      <c r="J87" s="24">
        <v>0.64</v>
      </c>
      <c r="K87" s="18">
        <v>47</v>
      </c>
      <c r="L87" s="18" t="str">
        <v>Tidak</v>
      </c>
      <c r="M87" s="18" t="str">
        <v>Poor</v>
      </c>
      <c r="N87" s="18" t="str">
        <v>Supervisor</v>
      </c>
      <c r="O87" s="19">
        <v>7000000</v>
      </c>
      <c r="P87" s="18">
        <v>1</v>
      </c>
      <c r="Q87" s="18">
        <v>0</v>
      </c>
      <c r="R87" s="18" t="str">
        <v>Perempuan</v>
      </c>
      <c r="S87" s="18">
        <v>2006</v>
      </c>
    </row>
    <row r="88" spans="1:19" x14ac:dyDescent="0.35">
      <c r="A88" s="18" t="s">
        <v>242</v>
      </c>
      <c r="B88" s="18" t="s">
        <v>243</v>
      </c>
      <c r="C88" s="18" t="s">
        <v>14</v>
      </c>
      <c r="D88" s="18" t="s">
        <v>27</v>
      </c>
      <c r="E88" s="22">
        <v>43216</v>
      </c>
      <c r="F88" s="18" t="s">
        <v>23</v>
      </c>
      <c r="G88" s="18" t="s">
        <v>327</v>
      </c>
      <c r="H88" s="18" t="s">
        <v>14</v>
      </c>
      <c r="I88" s="23">
        <v>31562</v>
      </c>
      <c r="J88" s="24">
        <v>0.87</v>
      </c>
      <c r="K88" s="18">
        <v>39</v>
      </c>
      <c r="L88" s="18" t="str">
        <v>Tidak</v>
      </c>
      <c r="M88" s="18" t="str">
        <v>Good</v>
      </c>
      <c r="N88" s="18" t="str">
        <v>Senior Staff</v>
      </c>
      <c r="O88" s="19">
        <v>5000000</v>
      </c>
      <c r="P88" s="18">
        <v>1</v>
      </c>
      <c r="Q88" s="18">
        <v>0</v>
      </c>
      <c r="R88" s="18" t="str">
        <v>Perempuan</v>
      </c>
      <c r="S88" s="18">
        <v>2018</v>
      </c>
    </row>
    <row r="89" spans="1:19" x14ac:dyDescent="0.35">
      <c r="A89" s="18" t="s">
        <v>244</v>
      </c>
      <c r="B89" s="18" t="s">
        <v>245</v>
      </c>
      <c r="C89" s="18" t="s">
        <v>14</v>
      </c>
      <c r="D89" s="18" t="s">
        <v>27</v>
      </c>
      <c r="E89" s="22">
        <v>44886</v>
      </c>
      <c r="F89" s="18" t="s">
        <v>23</v>
      </c>
      <c r="G89" s="18" t="s">
        <v>327</v>
      </c>
      <c r="H89" s="18" t="s">
        <v>190</v>
      </c>
      <c r="I89" s="23">
        <v>32788</v>
      </c>
      <c r="J89" s="24">
        <v>1</v>
      </c>
      <c r="K89" s="18">
        <v>36</v>
      </c>
      <c r="L89" s="18" t="str">
        <v>Tidak</v>
      </c>
      <c r="M89" s="18" t="str">
        <v>Good</v>
      </c>
      <c r="N89" s="18" t="str">
        <v>Senior Staff</v>
      </c>
      <c r="O89" s="19">
        <v>5000000</v>
      </c>
      <c r="P89" s="18">
        <v>1</v>
      </c>
      <c r="Q89" s="18">
        <v>5000000</v>
      </c>
      <c r="R89" s="18" t="str">
        <v>Perempuan</v>
      </c>
      <c r="S89" s="18">
        <v>2022</v>
      </c>
    </row>
    <row r="90" spans="1:19" x14ac:dyDescent="0.35">
      <c r="A90" s="18" t="s">
        <v>246</v>
      </c>
      <c r="B90" s="18" t="s">
        <v>247</v>
      </c>
      <c r="C90" s="18" t="s">
        <v>14</v>
      </c>
      <c r="D90" s="18" t="s">
        <v>15</v>
      </c>
      <c r="E90" s="22">
        <v>44531</v>
      </c>
      <c r="F90" s="18" t="s">
        <v>23</v>
      </c>
      <c r="G90" s="18" t="s">
        <v>327</v>
      </c>
      <c r="H90" s="18" t="s">
        <v>14</v>
      </c>
      <c r="I90" s="23">
        <v>34627</v>
      </c>
      <c r="J90" s="24">
        <v>0.89</v>
      </c>
      <c r="K90" s="18">
        <v>31</v>
      </c>
      <c r="L90" s="18" t="str">
        <v>Tidak</v>
      </c>
      <c r="M90" s="18" t="str">
        <v>Good</v>
      </c>
      <c r="N90" s="18" t="str">
        <v>Staff</v>
      </c>
      <c r="O90" s="19">
        <v>4000000</v>
      </c>
      <c r="P90" s="18">
        <v>1</v>
      </c>
      <c r="Q90" s="18">
        <v>0</v>
      </c>
      <c r="R90" s="18" t="str">
        <v>Perempuan</v>
      </c>
      <c r="S90" s="18">
        <v>2021</v>
      </c>
    </row>
    <row r="91" spans="1:19" x14ac:dyDescent="0.35">
      <c r="A91" s="18" t="s">
        <v>248</v>
      </c>
      <c r="B91" s="18" t="s">
        <v>249</v>
      </c>
      <c r="C91" s="18" t="s">
        <v>14</v>
      </c>
      <c r="D91" s="18" t="s">
        <v>15</v>
      </c>
      <c r="E91" s="22">
        <v>43430</v>
      </c>
      <c r="F91" s="18" t="s">
        <v>23</v>
      </c>
      <c r="G91" s="18" t="s">
        <v>327</v>
      </c>
      <c r="H91" s="18" t="s">
        <v>14</v>
      </c>
      <c r="I91" s="23">
        <v>32242</v>
      </c>
      <c r="J91" s="24">
        <v>0.82</v>
      </c>
      <c r="K91" s="18">
        <v>37</v>
      </c>
      <c r="L91" s="18" t="str">
        <v>Tidak</v>
      </c>
      <c r="M91" s="18" t="str">
        <v>Good</v>
      </c>
      <c r="N91" s="18" t="str">
        <v>Supervisor</v>
      </c>
      <c r="O91" s="19">
        <v>7000000</v>
      </c>
      <c r="P91" s="18">
        <v>1</v>
      </c>
      <c r="Q91" s="18">
        <v>0</v>
      </c>
      <c r="R91" s="18" t="str">
        <v>Perempuan</v>
      </c>
      <c r="S91" s="18">
        <v>2018</v>
      </c>
    </row>
    <row r="92" spans="1:19" x14ac:dyDescent="0.35">
      <c r="A92" s="18" t="s">
        <v>250</v>
      </c>
      <c r="B92" s="18" t="s">
        <v>251</v>
      </c>
      <c r="C92" s="18" t="s">
        <v>14</v>
      </c>
      <c r="D92" s="18" t="s">
        <v>27</v>
      </c>
      <c r="E92" s="22">
        <v>43647</v>
      </c>
      <c r="F92" s="18" t="s">
        <v>23</v>
      </c>
      <c r="G92" s="18" t="s">
        <v>328</v>
      </c>
      <c r="H92" s="18" t="s">
        <v>24</v>
      </c>
      <c r="I92" s="23">
        <v>33335</v>
      </c>
      <c r="J92" s="24">
        <v>0.76</v>
      </c>
      <c r="K92" s="18">
        <v>34</v>
      </c>
      <c r="L92" s="18" t="str">
        <v>Tidak</v>
      </c>
      <c r="M92" s="18" t="str">
        <v>Good</v>
      </c>
      <c r="N92" s="18" t="str">
        <v>Staff</v>
      </c>
      <c r="O92" s="19">
        <v>4000000</v>
      </c>
      <c r="P92" s="18">
        <v>1</v>
      </c>
      <c r="Q92" s="18">
        <v>0</v>
      </c>
      <c r="R92" s="18" t="str">
        <v>Laki-Laki</v>
      </c>
      <c r="S92" s="18">
        <v>2019</v>
      </c>
    </row>
    <row r="93" spans="1:19" x14ac:dyDescent="0.35">
      <c r="A93" s="18" t="s">
        <v>252</v>
      </c>
      <c r="B93" s="18" t="s">
        <v>253</v>
      </c>
      <c r="C93" s="18" t="s">
        <v>14</v>
      </c>
      <c r="D93" s="18" t="s">
        <v>27</v>
      </c>
      <c r="E93" s="22">
        <v>43416</v>
      </c>
      <c r="F93" s="18" t="s">
        <v>23</v>
      </c>
      <c r="G93" s="18" t="s">
        <v>328</v>
      </c>
      <c r="H93" s="18" t="s">
        <v>254</v>
      </c>
      <c r="I93" s="23">
        <v>32759</v>
      </c>
      <c r="J93" s="24">
        <v>0.94</v>
      </c>
      <c r="K93" s="18">
        <v>36</v>
      </c>
      <c r="L93" s="18" t="str">
        <v>Tidak</v>
      </c>
      <c r="M93" s="18" t="str">
        <v>Good</v>
      </c>
      <c r="N93" s="18" t="str">
        <v>Senior Staff</v>
      </c>
      <c r="O93" s="19">
        <v>5000000</v>
      </c>
      <c r="P93" s="18">
        <v>1</v>
      </c>
      <c r="Q93" s="18">
        <v>5000000</v>
      </c>
      <c r="R93" s="18" t="str">
        <v>Laki-Laki</v>
      </c>
      <c r="S93" s="18">
        <v>2018</v>
      </c>
    </row>
    <row r="94" spans="1:19" x14ac:dyDescent="0.35">
      <c r="A94" s="18" t="s">
        <v>255</v>
      </c>
      <c r="B94" s="18" t="s">
        <v>256</v>
      </c>
      <c r="C94" s="18" t="s">
        <v>14</v>
      </c>
      <c r="D94" s="18" t="s">
        <v>27</v>
      </c>
      <c r="E94" s="22">
        <v>43416</v>
      </c>
      <c r="F94" s="18" t="s">
        <v>23</v>
      </c>
      <c r="G94" s="18" t="s">
        <v>328</v>
      </c>
      <c r="H94" s="18" t="s">
        <v>254</v>
      </c>
      <c r="I94" s="23">
        <v>32759</v>
      </c>
      <c r="J94" s="24">
        <v>0.76</v>
      </c>
      <c r="K94" s="18">
        <v>36</v>
      </c>
      <c r="L94" s="18" t="str">
        <v>Tidak</v>
      </c>
      <c r="M94" s="18" t="str">
        <v>Good</v>
      </c>
      <c r="N94" s="18" t="str">
        <v>Staff</v>
      </c>
      <c r="O94" s="19">
        <v>4000000</v>
      </c>
      <c r="P94" s="18">
        <v>1</v>
      </c>
      <c r="Q94" s="18">
        <v>0</v>
      </c>
      <c r="R94" s="18" t="str">
        <v>Laki-Laki</v>
      </c>
      <c r="S94" s="18">
        <v>2018</v>
      </c>
    </row>
    <row r="95" spans="1:19" x14ac:dyDescent="0.35">
      <c r="A95" s="18" t="s">
        <v>257</v>
      </c>
      <c r="B95" s="18" t="s">
        <v>258</v>
      </c>
      <c r="C95" s="18" t="s">
        <v>14</v>
      </c>
      <c r="D95" s="18" t="s">
        <v>27</v>
      </c>
      <c r="E95" s="22">
        <v>44641</v>
      </c>
      <c r="F95" s="18" t="s">
        <v>23</v>
      </c>
      <c r="G95" s="18" t="s">
        <v>328</v>
      </c>
      <c r="H95" s="18" t="s">
        <v>14</v>
      </c>
      <c r="I95" s="23">
        <v>34399</v>
      </c>
      <c r="J95" s="24">
        <v>0.9</v>
      </c>
      <c r="K95" s="18">
        <v>31</v>
      </c>
      <c r="L95" s="18" t="str">
        <v>Tidak</v>
      </c>
      <c r="M95" s="18" t="str">
        <v>Good</v>
      </c>
      <c r="N95" s="18" t="str">
        <v>Staff</v>
      </c>
      <c r="O95" s="19">
        <v>4000000</v>
      </c>
      <c r="P95" s="18">
        <v>1</v>
      </c>
      <c r="Q95" s="18">
        <v>0</v>
      </c>
      <c r="R95" s="18" t="str">
        <v>Laki-Laki</v>
      </c>
      <c r="S95" s="18">
        <v>2022</v>
      </c>
    </row>
    <row r="96" spans="1:19" x14ac:dyDescent="0.35">
      <c r="A96" s="18" t="s">
        <v>259</v>
      </c>
      <c r="B96" s="18" t="s">
        <v>260</v>
      </c>
      <c r="C96" s="18" t="s">
        <v>14</v>
      </c>
      <c r="D96" s="18" t="s">
        <v>15</v>
      </c>
      <c r="E96" s="22">
        <v>42597</v>
      </c>
      <c r="F96" s="18" t="s">
        <v>23</v>
      </c>
      <c r="G96" s="18" t="s">
        <v>328</v>
      </c>
      <c r="H96" s="18" t="s">
        <v>14</v>
      </c>
      <c r="I96" s="23">
        <v>33087</v>
      </c>
      <c r="J96" s="24">
        <v>0.63</v>
      </c>
      <c r="K96" s="18">
        <v>35</v>
      </c>
      <c r="L96" s="18" t="str">
        <v>Tidak</v>
      </c>
      <c r="M96" s="18" t="str">
        <v>Poor</v>
      </c>
      <c r="N96" s="18" t="str">
        <v>Staff</v>
      </c>
      <c r="O96" s="19">
        <v>4000000</v>
      </c>
      <c r="P96" s="18">
        <v>1</v>
      </c>
      <c r="Q96" s="18">
        <v>0</v>
      </c>
      <c r="R96" s="18" t="str">
        <v>Laki-Laki</v>
      </c>
      <c r="S96" s="18">
        <v>2016</v>
      </c>
    </row>
    <row r="97" spans="1:19" x14ac:dyDescent="0.35">
      <c r="A97" s="18" t="s">
        <v>261</v>
      </c>
      <c r="B97" s="18" t="s">
        <v>262</v>
      </c>
      <c r="C97" s="18" t="s">
        <v>14</v>
      </c>
      <c r="D97" s="18" t="s">
        <v>15</v>
      </c>
      <c r="E97" s="22">
        <v>37601</v>
      </c>
      <c r="F97" s="18" t="s">
        <v>23</v>
      </c>
      <c r="G97" s="18" t="s">
        <v>328</v>
      </c>
      <c r="H97" s="18" t="s">
        <v>85</v>
      </c>
      <c r="I97" s="23">
        <v>29217</v>
      </c>
      <c r="J97" s="24">
        <v>0.7</v>
      </c>
      <c r="K97" s="18">
        <v>46</v>
      </c>
      <c r="L97" s="18" t="str">
        <v>Tidak</v>
      </c>
      <c r="M97" s="18" t="str">
        <v>Good</v>
      </c>
      <c r="N97" s="18" t="str">
        <v>Staff</v>
      </c>
      <c r="O97" s="19">
        <v>4000000</v>
      </c>
      <c r="P97" s="18">
        <v>1</v>
      </c>
      <c r="Q97" s="18">
        <v>0</v>
      </c>
      <c r="R97" s="18" t="str">
        <v>Laki-Laki</v>
      </c>
      <c r="S97" s="18">
        <v>2002</v>
      </c>
    </row>
    <row r="98" spans="1:19" x14ac:dyDescent="0.35">
      <c r="A98" s="18" t="s">
        <v>263</v>
      </c>
      <c r="B98" s="18" t="s">
        <v>264</v>
      </c>
      <c r="C98" s="18" t="s">
        <v>14</v>
      </c>
      <c r="D98" s="18" t="s">
        <v>27</v>
      </c>
      <c r="E98" s="22">
        <v>44172</v>
      </c>
      <c r="F98" s="18" t="s">
        <v>23</v>
      </c>
      <c r="G98" s="18" t="s">
        <v>328</v>
      </c>
      <c r="H98" s="18" t="s">
        <v>14</v>
      </c>
      <c r="I98" s="23">
        <v>33765</v>
      </c>
      <c r="J98" s="24">
        <v>0.62</v>
      </c>
      <c r="K98" s="18">
        <v>33</v>
      </c>
      <c r="L98" s="18" t="str">
        <v>Tidak</v>
      </c>
      <c r="M98" s="18" t="str">
        <v>Poor</v>
      </c>
      <c r="N98" s="18" t="str">
        <v>Senior Staff</v>
      </c>
      <c r="O98" s="19">
        <v>5000000</v>
      </c>
      <c r="P98" s="18">
        <v>1</v>
      </c>
      <c r="Q98" s="18">
        <v>0</v>
      </c>
      <c r="R98" s="18" t="str">
        <v>Laki-Laki</v>
      </c>
      <c r="S98" s="18">
        <v>2020</v>
      </c>
    </row>
    <row r="99" spans="1:19" x14ac:dyDescent="0.35">
      <c r="A99" s="18" t="s">
        <v>265</v>
      </c>
      <c r="B99" s="18" t="s">
        <v>266</v>
      </c>
      <c r="C99" s="18" t="s">
        <v>24</v>
      </c>
      <c r="D99" s="18" t="s">
        <v>27</v>
      </c>
      <c r="E99" s="22">
        <v>41792</v>
      </c>
      <c r="F99" s="18" t="s">
        <v>23</v>
      </c>
      <c r="G99" s="18" t="s">
        <v>328</v>
      </c>
      <c r="H99" s="18" t="s">
        <v>24</v>
      </c>
      <c r="I99" s="23">
        <v>27683</v>
      </c>
      <c r="J99" s="24">
        <v>0.67</v>
      </c>
      <c r="K99" s="18">
        <v>50</v>
      </c>
      <c r="L99" s="18" t="str">
        <v>Ya</v>
      </c>
      <c r="M99" s="18" t="str">
        <v>Poor</v>
      </c>
      <c r="N99" s="18" t="str">
        <v>Supervisor</v>
      </c>
      <c r="O99" s="19">
        <v>7000000</v>
      </c>
      <c r="P99" s="18">
        <v>1</v>
      </c>
      <c r="Q99" s="18">
        <v>0</v>
      </c>
      <c r="R99" s="18" t="str">
        <v>Laki-Laki</v>
      </c>
      <c r="S99" s="18">
        <v>2014</v>
      </c>
    </row>
    <row r="100" spans="1:19" x14ac:dyDescent="0.35">
      <c r="A100" s="18" t="s">
        <v>267</v>
      </c>
      <c r="B100" s="18" t="s">
        <v>268</v>
      </c>
      <c r="C100" s="18" t="s">
        <v>14</v>
      </c>
      <c r="D100" s="18" t="s">
        <v>15</v>
      </c>
      <c r="E100" s="22">
        <v>42380</v>
      </c>
      <c r="F100" s="18" t="s">
        <v>23</v>
      </c>
      <c r="G100" s="18" t="s">
        <v>328</v>
      </c>
      <c r="H100" s="18" t="s">
        <v>24</v>
      </c>
      <c r="I100" s="23">
        <v>34119</v>
      </c>
      <c r="J100" s="24">
        <v>0.6</v>
      </c>
      <c r="K100" s="18">
        <v>32</v>
      </c>
      <c r="L100" s="18" t="str">
        <v>Tidak</v>
      </c>
      <c r="M100" s="18" t="str">
        <v>Poor</v>
      </c>
      <c r="N100" s="18" t="str">
        <v>Staff</v>
      </c>
      <c r="O100" s="19">
        <v>4000000</v>
      </c>
      <c r="P100" s="18">
        <v>1</v>
      </c>
      <c r="Q100" s="18">
        <v>0</v>
      </c>
      <c r="R100" s="18" t="str">
        <v>Laki-Laki</v>
      </c>
      <c r="S100" s="18">
        <v>2016</v>
      </c>
    </row>
    <row r="101" spans="1:19" x14ac:dyDescent="0.35">
      <c r="A101" s="18" t="s">
        <v>269</v>
      </c>
      <c r="B101" s="18" t="s">
        <v>270</v>
      </c>
      <c r="C101" s="18" t="s">
        <v>14</v>
      </c>
      <c r="D101" s="18" t="s">
        <v>27</v>
      </c>
      <c r="E101" s="22">
        <v>44977</v>
      </c>
      <c r="F101" s="18" t="s">
        <v>23</v>
      </c>
      <c r="G101" s="18" t="s">
        <v>328</v>
      </c>
      <c r="H101" s="18" t="s">
        <v>271</v>
      </c>
      <c r="I101" s="23">
        <v>34684</v>
      </c>
      <c r="J101" s="24">
        <v>0.81</v>
      </c>
      <c r="K101" s="18">
        <v>31</v>
      </c>
      <c r="L101" s="18" t="str">
        <v>Tidak</v>
      </c>
      <c r="M101" s="18" t="str">
        <v>Good</v>
      </c>
      <c r="N101" s="18" t="str">
        <v>Senior Staff</v>
      </c>
      <c r="O101" s="19">
        <v>5000000</v>
      </c>
      <c r="P101" s="18">
        <v>1</v>
      </c>
      <c r="Q101" s="18">
        <v>0</v>
      </c>
      <c r="R101" s="18" t="str">
        <v>Laki-Laki</v>
      </c>
      <c r="S101" s="18">
        <v>2023</v>
      </c>
    </row>
    <row r="102" spans="1:19" x14ac:dyDescent="0.35">
      <c r="A102" s="18" t="s">
        <v>272</v>
      </c>
      <c r="B102" s="18" t="s">
        <v>273</v>
      </c>
      <c r="C102" s="18" t="s">
        <v>274</v>
      </c>
      <c r="D102" s="18" t="s">
        <v>27</v>
      </c>
      <c r="E102" s="22">
        <v>38999</v>
      </c>
      <c r="F102" s="18" t="s">
        <v>23</v>
      </c>
      <c r="G102" s="18" t="s">
        <v>328</v>
      </c>
      <c r="H102" s="18" t="s">
        <v>274</v>
      </c>
      <c r="I102" s="23">
        <v>31060</v>
      </c>
      <c r="J102" s="24">
        <v>0.6</v>
      </c>
      <c r="K102" s="18">
        <v>40</v>
      </c>
      <c r="L102" s="18" t="str">
        <v>Tidak</v>
      </c>
      <c r="M102" s="18" t="str">
        <v>Poor</v>
      </c>
      <c r="N102" s="18" t="str">
        <v>Staff</v>
      </c>
      <c r="O102" s="19">
        <v>4000000</v>
      </c>
      <c r="P102" s="18">
        <v>1</v>
      </c>
      <c r="Q102" s="18">
        <v>0</v>
      </c>
      <c r="R102" s="18" t="str">
        <v>Laki-Laki</v>
      </c>
      <c r="S102" s="18">
        <v>2006</v>
      </c>
    </row>
    <row r="103" spans="1:19" x14ac:dyDescent="0.35">
      <c r="A103" s="18" t="s">
        <v>275</v>
      </c>
      <c r="B103" s="18" t="s">
        <v>276</v>
      </c>
      <c r="C103" s="18" t="s">
        <v>14</v>
      </c>
      <c r="D103" s="18" t="s">
        <v>15</v>
      </c>
      <c r="E103" s="22">
        <v>42767</v>
      </c>
      <c r="F103" s="18" t="s">
        <v>23</v>
      </c>
      <c r="G103" s="18" t="s">
        <v>328</v>
      </c>
      <c r="H103" s="18" t="s">
        <v>14</v>
      </c>
      <c r="I103" s="23">
        <v>31701</v>
      </c>
      <c r="J103" s="24">
        <v>0.83</v>
      </c>
      <c r="K103" s="18">
        <v>39</v>
      </c>
      <c r="L103" s="18" t="str">
        <v>Tidak</v>
      </c>
      <c r="M103" s="18" t="str">
        <v>Good</v>
      </c>
      <c r="N103" s="18" t="str">
        <v>Staff</v>
      </c>
      <c r="O103" s="19">
        <v>4000000</v>
      </c>
      <c r="P103" s="18">
        <v>1</v>
      </c>
      <c r="Q103" s="18">
        <v>0</v>
      </c>
      <c r="R103" s="18" t="str">
        <v>Laki-Laki</v>
      </c>
      <c r="S103" s="18">
        <v>2017</v>
      </c>
    </row>
    <row r="104" spans="1:19" x14ac:dyDescent="0.35">
      <c r="A104" s="18" t="s">
        <v>277</v>
      </c>
      <c r="B104" s="18" t="s">
        <v>278</v>
      </c>
      <c r="C104" s="18" t="s">
        <v>14</v>
      </c>
      <c r="D104" s="18" t="s">
        <v>27</v>
      </c>
      <c r="E104" s="22">
        <v>43087</v>
      </c>
      <c r="F104" s="18" t="s">
        <v>23</v>
      </c>
      <c r="G104" s="18" t="s">
        <v>328</v>
      </c>
      <c r="H104" s="18" t="s">
        <v>14</v>
      </c>
      <c r="I104" s="23">
        <v>33043</v>
      </c>
      <c r="J104" s="24">
        <v>0.84</v>
      </c>
      <c r="K104" s="18">
        <v>35</v>
      </c>
      <c r="L104" s="18" t="str">
        <v>Tidak</v>
      </c>
      <c r="M104" s="18" t="str">
        <v>Good</v>
      </c>
      <c r="N104" s="18" t="str">
        <v>Junior Manager</v>
      </c>
      <c r="O104" s="19">
        <v>12000000</v>
      </c>
      <c r="P104" s="18">
        <v>2</v>
      </c>
      <c r="Q104" s="18">
        <v>0</v>
      </c>
      <c r="R104" s="18" t="str">
        <v>Laki-Laki</v>
      </c>
      <c r="S104" s="18">
        <v>2017</v>
      </c>
    </row>
    <row r="105" spans="1:19" x14ac:dyDescent="0.35">
      <c r="A105" s="18" t="s">
        <v>279</v>
      </c>
      <c r="B105" s="18" t="s">
        <v>280</v>
      </c>
      <c r="C105" s="18" t="s">
        <v>24</v>
      </c>
      <c r="D105" s="18" t="s">
        <v>27</v>
      </c>
      <c r="E105" s="22">
        <v>39657</v>
      </c>
      <c r="F105" s="18" t="s">
        <v>23</v>
      </c>
      <c r="G105" s="18" t="s">
        <v>328</v>
      </c>
      <c r="H105" s="18" t="s">
        <v>14</v>
      </c>
      <c r="I105" s="23">
        <v>31016</v>
      </c>
      <c r="J105" s="24">
        <v>0.66</v>
      </c>
      <c r="K105" s="18">
        <v>41</v>
      </c>
      <c r="L105" s="18" t="str">
        <v>Tidak</v>
      </c>
      <c r="M105" s="18" t="str">
        <v>Poor</v>
      </c>
      <c r="N105" s="18" t="str">
        <v>Junior Manager</v>
      </c>
      <c r="O105" s="19">
        <v>12000000</v>
      </c>
      <c r="P105" s="18">
        <v>2</v>
      </c>
      <c r="Q105" s="18">
        <v>0</v>
      </c>
      <c r="R105" s="18" t="str">
        <v>Laki-Laki</v>
      </c>
      <c r="S105" s="18">
        <v>2008</v>
      </c>
    </row>
    <row r="106" spans="1:19" x14ac:dyDescent="0.35">
      <c r="A106" s="18" t="s">
        <v>281</v>
      </c>
      <c r="B106" s="18" t="s">
        <v>282</v>
      </c>
      <c r="C106" s="18" t="s">
        <v>14</v>
      </c>
      <c r="D106" s="18" t="s">
        <v>15</v>
      </c>
      <c r="E106" s="22">
        <v>43843</v>
      </c>
      <c r="F106" s="18" t="s">
        <v>23</v>
      </c>
      <c r="G106" s="18" t="s">
        <v>327</v>
      </c>
      <c r="H106" s="18" t="s">
        <v>283</v>
      </c>
      <c r="I106" s="23">
        <v>35944</v>
      </c>
      <c r="J106" s="24">
        <v>0.77</v>
      </c>
      <c r="K106" s="18">
        <v>27</v>
      </c>
      <c r="L106" s="18" t="str">
        <v>Tidak</v>
      </c>
      <c r="M106" s="18" t="str">
        <v>Good</v>
      </c>
      <c r="N106" s="18" t="str">
        <v>Supervisor</v>
      </c>
      <c r="O106" s="19">
        <v>7000000</v>
      </c>
      <c r="P106" s="18">
        <v>1</v>
      </c>
      <c r="Q106" s="18">
        <v>0</v>
      </c>
      <c r="R106" s="18" t="str">
        <v>Perempuan</v>
      </c>
      <c r="S106" s="18">
        <v>2020</v>
      </c>
    </row>
    <row r="107" spans="1:19" x14ac:dyDescent="0.35">
      <c r="A107" s="18" t="s">
        <v>284</v>
      </c>
      <c r="B107" s="18" t="s">
        <v>285</v>
      </c>
      <c r="C107" s="18" t="s">
        <v>24</v>
      </c>
      <c r="D107" s="18" t="s">
        <v>15</v>
      </c>
      <c r="E107" s="22">
        <v>42927</v>
      </c>
      <c r="F107" s="18" t="s">
        <v>23</v>
      </c>
      <c r="G107" s="18" t="s">
        <v>327</v>
      </c>
      <c r="H107" s="18" t="s">
        <v>286</v>
      </c>
      <c r="I107" s="23">
        <v>31089</v>
      </c>
      <c r="J107" s="24">
        <v>0.79</v>
      </c>
      <c r="K107" s="18">
        <v>40</v>
      </c>
      <c r="L107" s="18" t="str">
        <v>Tidak</v>
      </c>
      <c r="M107" s="18" t="str">
        <v>Good</v>
      </c>
      <c r="N107" s="18" t="str">
        <v>Supervisor</v>
      </c>
      <c r="O107" s="19">
        <v>7000000</v>
      </c>
      <c r="P107" s="18">
        <v>1</v>
      </c>
      <c r="Q107" s="18">
        <v>0</v>
      </c>
      <c r="R107" s="18" t="str">
        <v>Perempuan</v>
      </c>
      <c r="S107" s="18">
        <v>2017</v>
      </c>
    </row>
    <row r="108" spans="1:19" x14ac:dyDescent="0.35">
      <c r="A108" s="18" t="s">
        <v>287</v>
      </c>
      <c r="B108" s="18" t="s">
        <v>288</v>
      </c>
      <c r="C108" s="18" t="s">
        <v>14</v>
      </c>
      <c r="D108" s="18" t="s">
        <v>15</v>
      </c>
      <c r="E108" s="22">
        <v>42608</v>
      </c>
      <c r="F108" s="18" t="s">
        <v>23</v>
      </c>
      <c r="G108" s="18" t="s">
        <v>327</v>
      </c>
      <c r="H108" s="18" t="s">
        <v>14</v>
      </c>
      <c r="I108" s="23">
        <v>33984</v>
      </c>
      <c r="J108" s="24">
        <v>0.64</v>
      </c>
      <c r="K108" s="18">
        <v>32</v>
      </c>
      <c r="L108" s="18" t="str">
        <v>Tidak</v>
      </c>
      <c r="M108" s="18" t="str">
        <v>Poor</v>
      </c>
      <c r="N108" s="18" t="str">
        <v>General Manager</v>
      </c>
      <c r="O108" s="19">
        <v>25000000</v>
      </c>
      <c r="P108" s="18">
        <v>2</v>
      </c>
      <c r="Q108" s="18">
        <v>0</v>
      </c>
      <c r="R108" s="18" t="str">
        <v>Perempuan</v>
      </c>
      <c r="S108" s="18">
        <v>2016</v>
      </c>
    </row>
    <row r="109" spans="1:19" x14ac:dyDescent="0.35">
      <c r="A109" s="18" t="s">
        <v>289</v>
      </c>
      <c r="B109" s="18" t="s">
        <v>290</v>
      </c>
      <c r="C109" s="18" t="s">
        <v>14</v>
      </c>
      <c r="D109" s="18" t="s">
        <v>27</v>
      </c>
      <c r="E109" s="22">
        <v>42475</v>
      </c>
      <c r="F109" s="18" t="s">
        <v>23</v>
      </c>
      <c r="G109" s="18" t="s">
        <v>327</v>
      </c>
      <c r="H109" s="18" t="s">
        <v>291</v>
      </c>
      <c r="I109" s="23">
        <v>32960</v>
      </c>
      <c r="J109" s="24">
        <v>0.85</v>
      </c>
      <c r="K109" s="18">
        <v>35</v>
      </c>
      <c r="L109" s="18" t="str">
        <v>Tidak</v>
      </c>
      <c r="M109" s="18" t="str">
        <v>Good</v>
      </c>
      <c r="N109" s="18" t="str">
        <v>Senior Manager</v>
      </c>
      <c r="O109" s="19">
        <v>18000000</v>
      </c>
      <c r="P109" s="18">
        <v>2</v>
      </c>
      <c r="Q109" s="18">
        <v>0</v>
      </c>
      <c r="R109" s="18" t="str">
        <v>Perempuan</v>
      </c>
      <c r="S109" s="18">
        <v>2016</v>
      </c>
    </row>
    <row r="110" spans="1:19" x14ac:dyDescent="0.35">
      <c r="A110" s="18" t="s">
        <v>292</v>
      </c>
      <c r="B110" s="18" t="s">
        <v>293</v>
      </c>
      <c r="C110" s="18" t="s">
        <v>14</v>
      </c>
      <c r="D110" s="18" t="s">
        <v>27</v>
      </c>
      <c r="E110" s="22">
        <v>44501</v>
      </c>
      <c r="F110" s="18" t="s">
        <v>294</v>
      </c>
      <c r="G110" s="18" t="s">
        <v>327</v>
      </c>
      <c r="H110" s="18" t="s">
        <v>254</v>
      </c>
      <c r="I110" s="23">
        <v>34646</v>
      </c>
      <c r="J110" s="24">
        <v>0.87</v>
      </c>
      <c r="K110" s="18">
        <v>31</v>
      </c>
      <c r="L110" s="18" t="str">
        <v>Tidak</v>
      </c>
      <c r="M110" s="18" t="str">
        <v>Good</v>
      </c>
      <c r="N110" s="18" t="str">
        <v>Senior Manager</v>
      </c>
      <c r="O110" s="19">
        <v>18000000</v>
      </c>
      <c r="P110" s="18">
        <v>2</v>
      </c>
      <c r="Q110" s="18">
        <v>0</v>
      </c>
      <c r="R110" s="18" t="str">
        <v>Perempuan</v>
      </c>
      <c r="S110" s="18">
        <v>2021</v>
      </c>
    </row>
    <row r="111" spans="1:19" x14ac:dyDescent="0.35">
      <c r="A111" s="18" t="s">
        <v>295</v>
      </c>
      <c r="B111" s="18" t="s">
        <v>296</v>
      </c>
      <c r="C111" s="18" t="s">
        <v>14</v>
      </c>
      <c r="D111" s="18" t="s">
        <v>27</v>
      </c>
      <c r="E111" s="22">
        <v>40371</v>
      </c>
      <c r="F111" s="18" t="s">
        <v>23</v>
      </c>
      <c r="G111" s="18" t="s">
        <v>328</v>
      </c>
      <c r="H111" s="18" t="s">
        <v>124</v>
      </c>
      <c r="I111" s="23">
        <v>30064</v>
      </c>
      <c r="J111" s="24">
        <v>0.88</v>
      </c>
      <c r="K111" s="18">
        <v>43</v>
      </c>
      <c r="L111" s="18" t="str">
        <v>Tidak</v>
      </c>
      <c r="M111" s="18" t="str">
        <v>Good</v>
      </c>
      <c r="N111" s="18" t="str">
        <v>Senior Manager</v>
      </c>
      <c r="O111" s="19">
        <v>18000000</v>
      </c>
      <c r="P111" s="18">
        <v>2</v>
      </c>
      <c r="Q111" s="18">
        <v>0</v>
      </c>
      <c r="R111" s="18" t="str">
        <v>Laki-Laki</v>
      </c>
      <c r="S111" s="18">
        <v>2010</v>
      </c>
    </row>
    <row r="112" spans="1:19" x14ac:dyDescent="0.35">
      <c r="A112" s="18" t="s">
        <v>298</v>
      </c>
      <c r="B112" s="18" t="s">
        <v>299</v>
      </c>
      <c r="C112" s="18" t="s">
        <v>14</v>
      </c>
      <c r="D112" s="18" t="s">
        <v>27</v>
      </c>
      <c r="E112" s="22">
        <v>41750</v>
      </c>
      <c r="F112" s="18" t="s">
        <v>23</v>
      </c>
      <c r="G112" s="18" t="s">
        <v>327</v>
      </c>
      <c r="H112" s="18" t="s">
        <v>14</v>
      </c>
      <c r="I112" s="23">
        <v>33673</v>
      </c>
      <c r="J112" s="24">
        <v>0.8</v>
      </c>
      <c r="K112" s="18">
        <v>33</v>
      </c>
      <c r="L112" s="18" t="str">
        <v>Tidak</v>
      </c>
      <c r="M112" s="18" t="str">
        <v>Good</v>
      </c>
      <c r="N112" s="18" t="str">
        <v>Senior Manager</v>
      </c>
      <c r="O112" s="19">
        <v>18000000</v>
      </c>
      <c r="P112" s="18">
        <v>2</v>
      </c>
      <c r="Q112" s="18">
        <v>0</v>
      </c>
      <c r="R112" s="18" t="str">
        <v>Perempuan</v>
      </c>
      <c r="S112" s="18">
        <v>2014</v>
      </c>
    </row>
    <row r="113" spans="1:19" x14ac:dyDescent="0.35">
      <c r="A113" s="18" t="s">
        <v>300</v>
      </c>
      <c r="B113" s="18" t="s">
        <v>301</v>
      </c>
      <c r="C113" s="18" t="s">
        <v>14</v>
      </c>
      <c r="D113" s="18" t="s">
        <v>27</v>
      </c>
      <c r="E113" s="22">
        <v>42248</v>
      </c>
      <c r="F113" s="18" t="s">
        <v>294</v>
      </c>
      <c r="G113" s="18" t="s">
        <v>327</v>
      </c>
      <c r="H113" s="18" t="s">
        <v>302</v>
      </c>
      <c r="I113" s="23">
        <v>26994</v>
      </c>
      <c r="J113" s="24">
        <v>0.84</v>
      </c>
      <c r="K113" s="18">
        <v>52</v>
      </c>
      <c r="L113" s="18" t="str">
        <v>Ya</v>
      </c>
      <c r="M113" s="18" t="str">
        <v>Good</v>
      </c>
      <c r="N113" s="18" t="str">
        <v>Supervisor</v>
      </c>
      <c r="O113" s="19">
        <v>7000000</v>
      </c>
      <c r="P113" s="18">
        <v>1</v>
      </c>
      <c r="Q113" s="18">
        <v>0</v>
      </c>
      <c r="R113" s="18" t="str">
        <v>Perempuan</v>
      </c>
      <c r="S113" s="18">
        <v>2015</v>
      </c>
    </row>
    <row r="114" spans="1:19" x14ac:dyDescent="0.35">
      <c r="A114" s="18" t="s">
        <v>303</v>
      </c>
      <c r="B114" s="18" t="s">
        <v>304</v>
      </c>
      <c r="C114" s="18" t="s">
        <v>14</v>
      </c>
      <c r="D114" s="18" t="s">
        <v>27</v>
      </c>
      <c r="E114" s="22">
        <v>43332</v>
      </c>
      <c r="F114" s="18" t="s">
        <v>23</v>
      </c>
      <c r="G114" s="18" t="s">
        <v>327</v>
      </c>
      <c r="H114" s="18" t="s">
        <v>14</v>
      </c>
      <c r="I114" s="23">
        <v>34670</v>
      </c>
      <c r="J114" s="24">
        <v>0.97</v>
      </c>
      <c r="K114" s="18">
        <v>31</v>
      </c>
      <c r="L114" s="18" t="str">
        <v>Tidak</v>
      </c>
      <c r="M114" s="18" t="str">
        <v>Good</v>
      </c>
      <c r="N114" s="18" t="str">
        <v>Supervisor</v>
      </c>
      <c r="O114" s="19">
        <v>7000000</v>
      </c>
      <c r="P114" s="18">
        <v>1</v>
      </c>
      <c r="Q114" s="18">
        <v>7000000</v>
      </c>
      <c r="R114" s="18" t="str">
        <v>Perempuan</v>
      </c>
      <c r="S114" s="18">
        <v>2018</v>
      </c>
    </row>
    <row r="115" spans="1:19" x14ac:dyDescent="0.35">
      <c r="A115" s="18" t="s">
        <v>305</v>
      </c>
      <c r="B115" s="18" t="s">
        <v>306</v>
      </c>
      <c r="C115" s="18" t="s">
        <v>274</v>
      </c>
      <c r="D115" s="18" t="s">
        <v>27</v>
      </c>
      <c r="E115" s="22">
        <v>42961</v>
      </c>
      <c r="F115" s="18" t="s">
        <v>23</v>
      </c>
      <c r="G115" s="18" t="s">
        <v>327</v>
      </c>
      <c r="H115" s="18" t="s">
        <v>133</v>
      </c>
      <c r="I115" s="23">
        <v>33123</v>
      </c>
      <c r="J115" s="24">
        <v>0.78</v>
      </c>
      <c r="K115" s="18">
        <v>35</v>
      </c>
      <c r="L115" s="18" t="str">
        <v>Tidak</v>
      </c>
      <c r="M115" s="18" t="str">
        <v>Good</v>
      </c>
      <c r="N115" s="18" t="str">
        <v>Supervisor</v>
      </c>
      <c r="O115" s="19">
        <v>7000000</v>
      </c>
      <c r="P115" s="18">
        <v>1</v>
      </c>
      <c r="Q115" s="18">
        <v>0</v>
      </c>
      <c r="R115" s="18" t="str">
        <v>Perempuan</v>
      </c>
      <c r="S115" s="18">
        <v>2017</v>
      </c>
    </row>
    <row r="116" spans="1:19" x14ac:dyDescent="0.35">
      <c r="A116" s="18" t="s">
        <v>307</v>
      </c>
      <c r="B116" s="18" t="s">
        <v>308</v>
      </c>
      <c r="C116" s="18" t="s">
        <v>14</v>
      </c>
      <c r="D116" s="18" t="s">
        <v>15</v>
      </c>
      <c r="E116" s="22">
        <v>43808</v>
      </c>
      <c r="F116" s="18" t="s">
        <v>23</v>
      </c>
      <c r="G116" s="18" t="s">
        <v>328</v>
      </c>
      <c r="H116" s="18" t="s">
        <v>14</v>
      </c>
      <c r="I116" s="23">
        <v>32486</v>
      </c>
      <c r="J116" s="24">
        <v>0.87</v>
      </c>
      <c r="K116" s="18">
        <v>37</v>
      </c>
      <c r="L116" s="18" t="str">
        <v>Tidak</v>
      </c>
      <c r="M116" s="18" t="str">
        <v>Good</v>
      </c>
      <c r="N116" s="18" t="str">
        <v>General Manager</v>
      </c>
      <c r="O116" s="19">
        <v>25000000</v>
      </c>
      <c r="P116" s="18">
        <v>2</v>
      </c>
      <c r="Q116" s="18">
        <v>0</v>
      </c>
      <c r="R116" s="18" t="str">
        <v>Laki-Laki</v>
      </c>
      <c r="S116" s="18">
        <v>2019</v>
      </c>
    </row>
    <row r="117" spans="1:19" x14ac:dyDescent="0.35">
      <c r="A117" s="18" t="s">
        <v>309</v>
      </c>
      <c r="B117" s="18" t="s">
        <v>310</v>
      </c>
      <c r="C117" s="18" t="s">
        <v>63</v>
      </c>
      <c r="D117" s="18" t="s">
        <v>27</v>
      </c>
      <c r="E117" s="22">
        <v>39449</v>
      </c>
      <c r="F117" s="18" t="s">
        <v>23</v>
      </c>
      <c r="G117" s="18" t="s">
        <v>328</v>
      </c>
      <c r="H117" s="18" t="s">
        <v>63</v>
      </c>
      <c r="I117" s="23">
        <v>30252</v>
      </c>
      <c r="J117" s="24">
        <v>0.79</v>
      </c>
      <c r="K117" s="18">
        <v>43</v>
      </c>
      <c r="L117" s="18" t="str">
        <v>Tidak</v>
      </c>
      <c r="M117" s="18" t="str">
        <v>Good</v>
      </c>
      <c r="N117" s="18" t="str">
        <v>Senior Staff</v>
      </c>
      <c r="O117" s="19">
        <v>5000000</v>
      </c>
      <c r="P117" s="18">
        <v>1</v>
      </c>
      <c r="Q117" s="18">
        <v>0</v>
      </c>
      <c r="R117" s="18" t="str">
        <v>Laki-Laki</v>
      </c>
      <c r="S117" s="18">
        <v>2008</v>
      </c>
    </row>
    <row r="118" spans="1:19" x14ac:dyDescent="0.35">
      <c r="A118" s="18" t="s">
        <v>311</v>
      </c>
      <c r="B118" s="18" t="s">
        <v>312</v>
      </c>
      <c r="C118" s="18" t="s">
        <v>274</v>
      </c>
      <c r="D118" s="18" t="s">
        <v>27</v>
      </c>
      <c r="E118" s="22">
        <v>44459</v>
      </c>
      <c r="F118" s="18" t="s">
        <v>23</v>
      </c>
      <c r="G118" s="18" t="s">
        <v>327</v>
      </c>
      <c r="H118" s="18" t="s">
        <v>274</v>
      </c>
      <c r="I118" s="23">
        <v>34243</v>
      </c>
      <c r="J118" s="24">
        <v>0.6</v>
      </c>
      <c r="K118" s="18">
        <v>32</v>
      </c>
      <c r="L118" s="18" t="str">
        <v>Tidak</v>
      </c>
      <c r="M118" s="18" t="str">
        <v>Poor</v>
      </c>
      <c r="N118" s="18" t="str">
        <v>Supervisor</v>
      </c>
      <c r="O118" s="19">
        <v>7000000</v>
      </c>
      <c r="P118" s="18">
        <v>1</v>
      </c>
      <c r="Q118" s="18">
        <v>0</v>
      </c>
      <c r="R118" s="18" t="str">
        <v>Perempuan</v>
      </c>
      <c r="S118" s="18">
        <v>2021</v>
      </c>
    </row>
    <row r="119" spans="1:19" x14ac:dyDescent="0.35">
      <c r="A119" s="18" t="s">
        <v>313</v>
      </c>
      <c r="B119" s="18" t="s">
        <v>314</v>
      </c>
      <c r="C119" s="18" t="s">
        <v>14</v>
      </c>
      <c r="D119" s="18" t="s">
        <v>27</v>
      </c>
      <c r="E119" s="22">
        <v>43313</v>
      </c>
      <c r="F119" s="18" t="s">
        <v>23</v>
      </c>
      <c r="G119" s="18" t="s">
        <v>327</v>
      </c>
      <c r="H119" s="18" t="s">
        <v>315</v>
      </c>
      <c r="I119" s="23">
        <v>31799</v>
      </c>
      <c r="J119" s="24">
        <v>0.74</v>
      </c>
      <c r="K119" s="18">
        <v>38</v>
      </c>
      <c r="L119" s="18" t="str">
        <v>Tidak</v>
      </c>
      <c r="M119" s="18" t="str">
        <v>Good</v>
      </c>
      <c r="N119" s="18" t="str">
        <v>Senior Staff</v>
      </c>
      <c r="O119" s="19">
        <v>5000000</v>
      </c>
      <c r="P119" s="18">
        <v>1</v>
      </c>
      <c r="Q119" s="18">
        <v>0</v>
      </c>
      <c r="R119" s="18" t="str">
        <v>Perempuan</v>
      </c>
      <c r="S119" s="18">
        <v>2018</v>
      </c>
    </row>
    <row r="120" spans="1:19" x14ac:dyDescent="0.35">
      <c r="A120" s="18" t="s">
        <v>316</v>
      </c>
      <c r="B120" s="18" t="s">
        <v>317</v>
      </c>
      <c r="C120" s="18" t="s">
        <v>14</v>
      </c>
      <c r="D120" s="18" t="s">
        <v>27</v>
      </c>
      <c r="E120" s="22">
        <v>43313</v>
      </c>
      <c r="F120" s="18" t="s">
        <v>23</v>
      </c>
      <c r="G120" s="18" t="s">
        <v>327</v>
      </c>
      <c r="H120" s="18" t="s">
        <v>315</v>
      </c>
      <c r="I120" s="23">
        <v>31799</v>
      </c>
      <c r="J120" s="24">
        <v>0.88</v>
      </c>
      <c r="K120" s="18">
        <v>38</v>
      </c>
      <c r="L120" s="18" t="str">
        <v>Tidak</v>
      </c>
      <c r="M120" s="18" t="str">
        <v>Good</v>
      </c>
      <c r="N120" s="18" t="str">
        <v>Staff</v>
      </c>
      <c r="O120" s="19">
        <v>4000000</v>
      </c>
      <c r="P120" s="18">
        <v>1</v>
      </c>
      <c r="Q120" s="18">
        <v>0</v>
      </c>
      <c r="R120" s="18" t="str">
        <v>Perempuan</v>
      </c>
      <c r="S120" s="18">
        <v>2018</v>
      </c>
    </row>
    <row r="121" spans="1:19" x14ac:dyDescent="0.35">
      <c r="A121" s="18" t="s">
        <v>318</v>
      </c>
      <c r="B121" s="18" t="s">
        <v>319</v>
      </c>
      <c r="C121" s="18" t="s">
        <v>14</v>
      </c>
      <c r="D121" s="18" t="s">
        <v>15</v>
      </c>
      <c r="E121" s="22">
        <v>44916</v>
      </c>
      <c r="F121" s="18" t="s">
        <v>23</v>
      </c>
      <c r="G121" s="18" t="s">
        <v>327</v>
      </c>
      <c r="H121" s="18" t="s">
        <v>327</v>
      </c>
      <c r="I121" s="23">
        <v>36693</v>
      </c>
      <c r="J121" s="24">
        <v>0.66</v>
      </c>
      <c r="K121" s="18">
        <v>25</v>
      </c>
      <c r="L121" s="18" t="str">
        <v>Tidak</v>
      </c>
      <c r="M121" s="18" t="str">
        <v>Poor</v>
      </c>
      <c r="N121" s="18" t="str">
        <v>Senior Staff</v>
      </c>
      <c r="O121" s="19">
        <v>5000000</v>
      </c>
      <c r="P121" s="18">
        <v>1</v>
      </c>
      <c r="Q121" s="18">
        <v>0</v>
      </c>
      <c r="R121" s="18" t="str">
        <v>Perempuan</v>
      </c>
      <c r="S121" s="18">
        <v>2022</v>
      </c>
    </row>
    <row r="122" spans="1:19" x14ac:dyDescent="0.35">
      <c r="A122" s="18" t="s">
        <v>320</v>
      </c>
      <c r="B122" s="18" t="s">
        <v>321</v>
      </c>
      <c r="C122" s="18" t="s">
        <v>14</v>
      </c>
      <c r="D122" s="18" t="s">
        <v>15</v>
      </c>
      <c r="E122" s="22">
        <v>43759</v>
      </c>
      <c r="F122" s="18" t="s">
        <v>23</v>
      </c>
      <c r="G122" s="18" t="s">
        <v>327</v>
      </c>
      <c r="H122" s="18" t="s">
        <v>14</v>
      </c>
      <c r="I122" s="23">
        <v>35265</v>
      </c>
      <c r="J122" s="24">
        <v>0.87</v>
      </c>
      <c r="K122" s="18">
        <v>29</v>
      </c>
      <c r="L122" s="18" t="str">
        <v>Tidak</v>
      </c>
      <c r="M122" s="18" t="str">
        <v>Good</v>
      </c>
      <c r="N122" s="18" t="str">
        <v>Senior Staff</v>
      </c>
      <c r="O122" s="19">
        <v>5000000</v>
      </c>
      <c r="P122" s="18">
        <v>1</v>
      </c>
      <c r="Q122" s="18">
        <v>0</v>
      </c>
      <c r="R122" s="18" t="str">
        <v>Perempuan</v>
      </c>
      <c r="S122" s="18">
        <v>2019</v>
      </c>
    </row>
    <row r="123" spans="1:19" x14ac:dyDescent="0.35">
      <c r="A123" s="18" t="s">
        <v>322</v>
      </c>
      <c r="B123" s="18" t="s">
        <v>323</v>
      </c>
      <c r="C123" s="18" t="s">
        <v>14</v>
      </c>
      <c r="D123" s="18" t="s">
        <v>15</v>
      </c>
      <c r="E123" s="22">
        <v>42583</v>
      </c>
      <c r="F123" s="18" t="s">
        <v>23</v>
      </c>
      <c r="G123" s="18" t="s">
        <v>327</v>
      </c>
      <c r="H123" s="18" t="s">
        <v>14</v>
      </c>
      <c r="I123" s="23">
        <v>34675</v>
      </c>
      <c r="J123" s="24">
        <v>0.82</v>
      </c>
      <c r="K123" s="18">
        <v>31</v>
      </c>
      <c r="L123" s="18" t="str">
        <v>Tidak</v>
      </c>
      <c r="M123" s="18" t="str">
        <v>Good</v>
      </c>
      <c r="N123" s="18" t="str">
        <v>Staff</v>
      </c>
      <c r="O123" s="19">
        <v>4000000</v>
      </c>
      <c r="P123" s="18">
        <v>1</v>
      </c>
      <c r="Q123" s="18">
        <v>0</v>
      </c>
      <c r="R123" s="18" t="str">
        <v>Perempuan</v>
      </c>
      <c r="S123" s="18">
        <v>2016</v>
      </c>
    </row>
    <row r="124" spans="1:19" x14ac:dyDescent="0.35">
      <c r="A124" s="18" t="s">
        <v>324</v>
      </c>
      <c r="B124" s="18" t="s">
        <v>325</v>
      </c>
      <c r="C124" s="18" t="s">
        <v>14</v>
      </c>
      <c r="D124" s="18" t="s">
        <v>15</v>
      </c>
      <c r="E124" s="22">
        <v>42926</v>
      </c>
      <c r="F124" s="18" t="s">
        <v>23</v>
      </c>
      <c r="G124" s="18" t="s">
        <v>327</v>
      </c>
      <c r="H124" s="18" t="s">
        <v>14</v>
      </c>
      <c r="I124" s="23">
        <v>31467</v>
      </c>
      <c r="J124" s="24">
        <v>0.61</v>
      </c>
      <c r="K124" s="18">
        <v>39</v>
      </c>
      <c r="L124" s="18" t="str">
        <v>Tidak</v>
      </c>
      <c r="M124" s="18" t="str">
        <v>Poor</v>
      </c>
      <c r="N124" s="18" t="str">
        <v>Staff</v>
      </c>
      <c r="O124" s="19">
        <v>4000000</v>
      </c>
      <c r="P124" s="18">
        <v>1</v>
      </c>
      <c r="Q124" s="18">
        <v>0</v>
      </c>
      <c r="R124" s="18" t="str">
        <v>Perempuan</v>
      </c>
      <c r="S124" s="18">
        <v>2017</v>
      </c>
    </row>
    <row r="125" spans="1:19" x14ac:dyDescent="0.35">
      <c r="A125"/>
      <c r="B125"/>
      <c r="C125"/>
      <c r="D125"/>
      <c r="E125"/>
      <c r="F125"/>
      <c r="G125"/>
      <c r="H125"/>
      <c r="I125"/>
      <c r="J125"/>
    </row>
    <row r="126" spans="1:19" x14ac:dyDescent="0.35">
      <c r="A126"/>
      <c r="B126"/>
      <c r="C126"/>
      <c r="D126"/>
      <c r="E126"/>
      <c r="F126"/>
      <c r="G126"/>
      <c r="H126"/>
      <c r="I126"/>
      <c r="J126"/>
    </row>
    <row r="127" spans="1:19" x14ac:dyDescent="0.35">
      <c r="A127"/>
      <c r="B127"/>
      <c r="C127"/>
      <c r="D127"/>
      <c r="E127"/>
      <c r="F127"/>
      <c r="G127"/>
      <c r="H127"/>
      <c r="I127"/>
      <c r="J127"/>
    </row>
    <row r="128" spans="1:19" x14ac:dyDescent="0.35">
      <c r="A128"/>
      <c r="B128"/>
      <c r="C128"/>
      <c r="D128"/>
      <c r="E128"/>
      <c r="F128"/>
      <c r="G128"/>
      <c r="H128"/>
      <c r="I128"/>
      <c r="J128"/>
    </row>
    <row r="129" spans="1:10" x14ac:dyDescent="0.35">
      <c r="A129"/>
      <c r="B129"/>
      <c r="C129"/>
      <c r="D129"/>
      <c r="E129"/>
      <c r="F129"/>
      <c r="G129"/>
      <c r="H129"/>
      <c r="I129"/>
      <c r="J129"/>
    </row>
    <row r="130" spans="1:10" x14ac:dyDescent="0.35">
      <c r="A130"/>
      <c r="B130"/>
      <c r="C130"/>
      <c r="D130"/>
      <c r="E130"/>
      <c r="F130"/>
      <c r="G130"/>
      <c r="H130"/>
      <c r="I130"/>
      <c r="J130"/>
    </row>
    <row r="131" spans="1:10" x14ac:dyDescent="0.35">
      <c r="A131"/>
      <c r="B131"/>
      <c r="C131"/>
      <c r="D131"/>
      <c r="E131"/>
      <c r="F131"/>
      <c r="G131"/>
      <c r="H131"/>
      <c r="I131"/>
      <c r="J131"/>
    </row>
    <row r="132" spans="1:10" x14ac:dyDescent="0.35">
      <c r="A132"/>
      <c r="B132"/>
      <c r="C132"/>
      <c r="D132"/>
      <c r="E132"/>
      <c r="F132"/>
      <c r="G132"/>
      <c r="H132"/>
      <c r="I132"/>
      <c r="J132"/>
    </row>
    <row r="133" spans="1:10" x14ac:dyDescent="0.35">
      <c r="A133"/>
      <c r="B133"/>
      <c r="C133"/>
      <c r="D133"/>
      <c r="E133"/>
      <c r="F133"/>
      <c r="G133"/>
      <c r="H133"/>
      <c r="I133"/>
      <c r="J133"/>
    </row>
    <row r="134" spans="1:10" x14ac:dyDescent="0.35">
      <c r="A134"/>
      <c r="B134"/>
      <c r="C134"/>
      <c r="D134"/>
      <c r="E134"/>
      <c r="F134"/>
      <c r="G134"/>
      <c r="H134"/>
      <c r="I134"/>
      <c r="J134"/>
    </row>
    <row r="135" spans="1:10" x14ac:dyDescent="0.35">
      <c r="A135"/>
      <c r="B135"/>
      <c r="C135"/>
      <c r="D135"/>
      <c r="E135"/>
      <c r="F135"/>
      <c r="G135"/>
      <c r="H135"/>
      <c r="I135"/>
      <c r="J135"/>
    </row>
    <row r="136" spans="1:10" x14ac:dyDescent="0.35">
      <c r="A136"/>
      <c r="B136"/>
      <c r="C136"/>
      <c r="D136"/>
      <c r="E136"/>
      <c r="F136"/>
      <c r="G136"/>
      <c r="H136"/>
      <c r="I136"/>
      <c r="J136"/>
    </row>
  </sheetData>
  <autoFilter ref="B1:B124" xr:uid="{ACE8BEA2-3DDE-431B-B6AE-7C50AF3D61DF}"/>
  <conditionalFormatting sqref="A2:A116">
    <cfRule type="duplicateValues" dxfId="3" priority="38"/>
  </conditionalFormatting>
  <conditionalFormatting sqref="A2:A124">
    <cfRule type="duplicateValues" dxfId="2" priority="40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BD0B3-94BC-4681-911D-C4DE1E755453}">
  <sheetPr codeName="Sheet5">
    <tabColor theme="4" tint="0.39997558519241921"/>
  </sheetPr>
  <dimension ref="A1:C138"/>
  <sheetViews>
    <sheetView workbookViewId="0">
      <pane ySplit="1" topLeftCell="A111" activePane="bottomLeft" state="frozen"/>
      <selection pane="bottomLeft" sqref="A1:C124"/>
    </sheetView>
  </sheetViews>
  <sheetFormatPr defaultRowHeight="14.5" x14ac:dyDescent="0.35"/>
  <cols>
    <col min="1" max="1" width="16" style="5" bestFit="1" customWidth="1"/>
    <col min="2" max="2" width="6.453125" style="5" bestFit="1" customWidth="1"/>
    <col min="3" max="3" width="15.453125" style="5" bestFit="1" customWidth="1"/>
  </cols>
  <sheetData>
    <row r="1" spans="1:3" x14ac:dyDescent="0.35">
      <c r="A1" s="14" t="s">
        <v>7</v>
      </c>
      <c r="B1" s="14" t="s">
        <v>2</v>
      </c>
      <c r="C1" s="14" t="s">
        <v>6</v>
      </c>
    </row>
    <row r="2" spans="1:3" x14ac:dyDescent="0.35">
      <c r="A2" s="5" t="s">
        <v>17</v>
      </c>
      <c r="B2" s="5" t="s">
        <v>12</v>
      </c>
      <c r="C2" s="5" t="s">
        <v>16</v>
      </c>
    </row>
    <row r="3" spans="1:3" x14ac:dyDescent="0.35">
      <c r="A3" s="5" t="s">
        <v>17</v>
      </c>
      <c r="B3" s="5" t="s">
        <v>21</v>
      </c>
      <c r="C3" s="5" t="s">
        <v>16</v>
      </c>
    </row>
    <row r="4" spans="1:3" x14ac:dyDescent="0.35">
      <c r="A4" s="5" t="s">
        <v>17</v>
      </c>
      <c r="B4" s="5" t="s">
        <v>25</v>
      </c>
      <c r="C4" s="5" t="s">
        <v>28</v>
      </c>
    </row>
    <row r="5" spans="1:3" x14ac:dyDescent="0.35">
      <c r="A5" s="5" t="s">
        <v>33</v>
      </c>
      <c r="B5" s="5" t="s">
        <v>30</v>
      </c>
      <c r="C5" s="5" t="s">
        <v>32</v>
      </c>
    </row>
    <row r="6" spans="1:3" x14ac:dyDescent="0.35">
      <c r="A6" s="5" t="s">
        <v>33</v>
      </c>
      <c r="B6" s="5" t="s">
        <v>34</v>
      </c>
      <c r="C6" s="5" t="s">
        <v>36</v>
      </c>
    </row>
    <row r="7" spans="1:3" x14ac:dyDescent="0.35">
      <c r="A7" s="5" t="s">
        <v>33</v>
      </c>
      <c r="B7" s="5" t="s">
        <v>38</v>
      </c>
      <c r="C7" s="5" t="s">
        <v>32</v>
      </c>
    </row>
    <row r="8" spans="1:3" x14ac:dyDescent="0.35">
      <c r="A8" s="5" t="s">
        <v>33</v>
      </c>
      <c r="B8" s="5" t="s">
        <v>40</v>
      </c>
      <c r="C8" s="5" t="s">
        <v>42</v>
      </c>
    </row>
    <row r="9" spans="1:3" x14ac:dyDescent="0.35">
      <c r="A9" s="5" t="s">
        <v>33</v>
      </c>
      <c r="B9" s="5" t="s">
        <v>44</v>
      </c>
      <c r="C9" s="5" t="s">
        <v>32</v>
      </c>
    </row>
    <row r="10" spans="1:3" x14ac:dyDescent="0.35">
      <c r="A10" s="5" t="s">
        <v>17</v>
      </c>
      <c r="B10" s="5" t="s">
        <v>47</v>
      </c>
      <c r="C10" s="5" t="s">
        <v>42</v>
      </c>
    </row>
    <row r="11" spans="1:3" x14ac:dyDescent="0.35">
      <c r="A11" s="5" t="s">
        <v>51</v>
      </c>
      <c r="B11" s="5" t="s">
        <v>49</v>
      </c>
      <c r="C11" s="5" t="s">
        <v>32</v>
      </c>
    </row>
    <row r="12" spans="1:3" x14ac:dyDescent="0.35">
      <c r="A12" s="5" t="s">
        <v>54</v>
      </c>
      <c r="B12" s="5" t="s">
        <v>52</v>
      </c>
      <c r="C12" s="5" t="s">
        <v>32</v>
      </c>
    </row>
    <row r="13" spans="1:3" x14ac:dyDescent="0.35">
      <c r="A13" s="5" t="s">
        <v>57</v>
      </c>
      <c r="B13" s="5" t="s">
        <v>55</v>
      </c>
      <c r="C13" s="5" t="s">
        <v>16</v>
      </c>
    </row>
    <row r="14" spans="1:3" x14ac:dyDescent="0.35">
      <c r="A14" s="5" t="s">
        <v>33</v>
      </c>
      <c r="B14" s="5" t="s">
        <v>59</v>
      </c>
      <c r="C14" s="5" t="s">
        <v>28</v>
      </c>
    </row>
    <row r="15" spans="1:3" x14ac:dyDescent="0.35">
      <c r="A15" s="5" t="s">
        <v>33</v>
      </c>
      <c r="B15" s="5" t="s">
        <v>61</v>
      </c>
      <c r="C15" s="5" t="s">
        <v>16</v>
      </c>
    </row>
    <row r="16" spans="1:3" x14ac:dyDescent="0.35">
      <c r="A16" s="5" t="s">
        <v>51</v>
      </c>
      <c r="B16" s="5" t="s">
        <v>64</v>
      </c>
      <c r="C16" s="5" t="s">
        <v>36</v>
      </c>
    </row>
    <row r="17" spans="1:3" x14ac:dyDescent="0.35">
      <c r="A17" s="5" t="s">
        <v>33</v>
      </c>
      <c r="B17" s="5" t="s">
        <v>67</v>
      </c>
      <c r="C17" s="5" t="s">
        <v>42</v>
      </c>
    </row>
    <row r="18" spans="1:3" x14ac:dyDescent="0.35">
      <c r="A18" s="5" t="s">
        <v>51</v>
      </c>
      <c r="B18" s="5" t="s">
        <v>69</v>
      </c>
      <c r="C18" s="5" t="s">
        <v>36</v>
      </c>
    </row>
    <row r="19" spans="1:3" x14ac:dyDescent="0.35">
      <c r="A19" s="5" t="s">
        <v>17</v>
      </c>
      <c r="B19" s="5" t="s">
        <v>72</v>
      </c>
      <c r="C19" s="5" t="s">
        <v>42</v>
      </c>
    </row>
    <row r="20" spans="1:3" x14ac:dyDescent="0.35">
      <c r="A20" s="5" t="s">
        <v>57</v>
      </c>
      <c r="B20" s="5" t="s">
        <v>75</v>
      </c>
      <c r="C20" s="5" t="s">
        <v>77</v>
      </c>
    </row>
    <row r="21" spans="1:3" x14ac:dyDescent="0.35">
      <c r="A21" s="5" t="s">
        <v>33</v>
      </c>
      <c r="B21" s="5" t="s">
        <v>78</v>
      </c>
      <c r="C21" s="5" t="s">
        <v>28</v>
      </c>
    </row>
    <row r="22" spans="1:3" x14ac:dyDescent="0.35">
      <c r="A22" s="5" t="s">
        <v>51</v>
      </c>
      <c r="B22" s="5" t="s">
        <v>80</v>
      </c>
      <c r="C22" s="5" t="s">
        <v>28</v>
      </c>
    </row>
    <row r="23" spans="1:3" x14ac:dyDescent="0.35">
      <c r="A23" s="5" t="s">
        <v>17</v>
      </c>
      <c r="B23" s="5" t="s">
        <v>83</v>
      </c>
      <c r="C23" s="5" t="s">
        <v>16</v>
      </c>
    </row>
    <row r="24" spans="1:3" x14ac:dyDescent="0.35">
      <c r="A24" s="5" t="s">
        <v>17</v>
      </c>
      <c r="B24" s="5" t="s">
        <v>86</v>
      </c>
      <c r="C24" s="5" t="s">
        <v>36</v>
      </c>
    </row>
    <row r="25" spans="1:3" x14ac:dyDescent="0.35">
      <c r="A25" s="5" t="s">
        <v>51</v>
      </c>
      <c r="B25" s="5" t="s">
        <v>88</v>
      </c>
      <c r="C25" s="5" t="s">
        <v>36</v>
      </c>
    </row>
    <row r="26" spans="1:3" x14ac:dyDescent="0.35">
      <c r="A26" s="5" t="s">
        <v>51</v>
      </c>
      <c r="B26" s="5" t="s">
        <v>90</v>
      </c>
      <c r="C26" s="5" t="s">
        <v>16</v>
      </c>
    </row>
    <row r="27" spans="1:3" x14ac:dyDescent="0.35">
      <c r="A27" s="5" t="s">
        <v>51</v>
      </c>
      <c r="B27" s="5" t="s">
        <v>93</v>
      </c>
      <c r="C27" s="5" t="s">
        <v>28</v>
      </c>
    </row>
    <row r="28" spans="1:3" x14ac:dyDescent="0.35">
      <c r="A28" s="5" t="s">
        <v>57</v>
      </c>
      <c r="B28" s="5" t="s">
        <v>95</v>
      </c>
      <c r="C28" s="5" t="s">
        <v>42</v>
      </c>
    </row>
    <row r="29" spans="1:3" x14ac:dyDescent="0.35">
      <c r="A29" s="5" t="s">
        <v>17</v>
      </c>
      <c r="B29" s="5" t="s">
        <v>98</v>
      </c>
      <c r="C29" s="5" t="s">
        <v>28</v>
      </c>
    </row>
    <row r="30" spans="1:3" x14ac:dyDescent="0.35">
      <c r="A30" s="5" t="s">
        <v>51</v>
      </c>
      <c r="B30" s="5" t="s">
        <v>100</v>
      </c>
      <c r="C30" s="5" t="s">
        <v>16</v>
      </c>
    </row>
    <row r="31" spans="1:3" x14ac:dyDescent="0.35">
      <c r="A31" s="5" t="s">
        <v>33</v>
      </c>
      <c r="B31" s="5" t="s">
        <v>102</v>
      </c>
      <c r="C31" s="5" t="s">
        <v>16</v>
      </c>
    </row>
    <row r="32" spans="1:3" x14ac:dyDescent="0.35">
      <c r="A32" s="5" t="s">
        <v>57</v>
      </c>
      <c r="B32" s="5" t="s">
        <v>104</v>
      </c>
      <c r="C32" s="5" t="s">
        <v>36</v>
      </c>
    </row>
    <row r="33" spans="1:3" x14ac:dyDescent="0.35">
      <c r="A33" s="5" t="s">
        <v>33</v>
      </c>
      <c r="B33" s="5" t="s">
        <v>107</v>
      </c>
      <c r="C33" s="5" t="s">
        <v>42</v>
      </c>
    </row>
    <row r="34" spans="1:3" x14ac:dyDescent="0.35">
      <c r="A34" s="5" t="s">
        <v>17</v>
      </c>
      <c r="B34" s="5" t="s">
        <v>109</v>
      </c>
      <c r="C34" s="5" t="s">
        <v>32</v>
      </c>
    </row>
    <row r="35" spans="1:3" x14ac:dyDescent="0.35">
      <c r="A35" s="5" t="s">
        <v>51</v>
      </c>
      <c r="B35" s="5" t="s">
        <v>112</v>
      </c>
      <c r="C35" s="5" t="s">
        <v>28</v>
      </c>
    </row>
    <row r="36" spans="1:3" x14ac:dyDescent="0.35">
      <c r="A36" s="5" t="s">
        <v>51</v>
      </c>
      <c r="B36" s="5" t="s">
        <v>115</v>
      </c>
      <c r="C36" s="5" t="s">
        <v>28</v>
      </c>
    </row>
    <row r="37" spans="1:3" x14ac:dyDescent="0.35">
      <c r="A37" s="5" t="s">
        <v>51</v>
      </c>
      <c r="B37" s="5" t="s">
        <v>117</v>
      </c>
      <c r="C37" s="5" t="s">
        <v>77</v>
      </c>
    </row>
    <row r="38" spans="1:3" x14ac:dyDescent="0.35">
      <c r="A38" s="5" t="s">
        <v>17</v>
      </c>
      <c r="B38" s="5" t="s">
        <v>119</v>
      </c>
      <c r="C38" s="5" t="s">
        <v>28</v>
      </c>
    </row>
    <row r="39" spans="1:3" x14ac:dyDescent="0.35">
      <c r="A39" s="5" t="s">
        <v>51</v>
      </c>
      <c r="B39" s="5" t="s">
        <v>122</v>
      </c>
      <c r="C39" s="5" t="s">
        <v>32</v>
      </c>
    </row>
    <row r="40" spans="1:3" x14ac:dyDescent="0.35">
      <c r="A40" s="5" t="s">
        <v>57</v>
      </c>
      <c r="B40" s="5" t="s">
        <v>125</v>
      </c>
      <c r="C40" s="5" t="s">
        <v>28</v>
      </c>
    </row>
    <row r="41" spans="1:3" x14ac:dyDescent="0.35">
      <c r="A41" s="5" t="s">
        <v>17</v>
      </c>
      <c r="B41" s="5" t="s">
        <v>128</v>
      </c>
      <c r="C41" s="5" t="s">
        <v>28</v>
      </c>
    </row>
    <row r="42" spans="1:3" x14ac:dyDescent="0.35">
      <c r="A42" s="5" t="s">
        <v>57</v>
      </c>
      <c r="B42" s="5" t="s">
        <v>130</v>
      </c>
      <c r="C42" s="5" t="s">
        <v>132</v>
      </c>
    </row>
    <row r="43" spans="1:3" x14ac:dyDescent="0.35">
      <c r="A43" s="5" t="s">
        <v>17</v>
      </c>
      <c r="B43" s="5" t="s">
        <v>134</v>
      </c>
      <c r="C43" s="5" t="s">
        <v>32</v>
      </c>
    </row>
    <row r="44" spans="1:3" x14ac:dyDescent="0.35">
      <c r="A44" s="5" t="s">
        <v>33</v>
      </c>
      <c r="B44" s="5" t="s">
        <v>136</v>
      </c>
      <c r="C44" s="5" t="s">
        <v>16</v>
      </c>
    </row>
    <row r="45" spans="1:3" x14ac:dyDescent="0.35">
      <c r="A45" s="5" t="s">
        <v>51</v>
      </c>
      <c r="B45" s="5" t="s">
        <v>138</v>
      </c>
      <c r="C45" s="5" t="s">
        <v>16</v>
      </c>
    </row>
    <row r="46" spans="1:3" x14ac:dyDescent="0.35">
      <c r="A46" s="5" t="s">
        <v>17</v>
      </c>
      <c r="B46" s="5" t="s">
        <v>140</v>
      </c>
      <c r="C46" s="5" t="s">
        <v>28</v>
      </c>
    </row>
    <row r="47" spans="1:3" x14ac:dyDescent="0.35">
      <c r="A47" s="5" t="s">
        <v>57</v>
      </c>
      <c r="B47" s="5" t="s">
        <v>144</v>
      </c>
      <c r="C47" s="5" t="s">
        <v>28</v>
      </c>
    </row>
    <row r="48" spans="1:3" x14ac:dyDescent="0.35">
      <c r="A48" s="5" t="s">
        <v>33</v>
      </c>
      <c r="B48" s="5" t="s">
        <v>147</v>
      </c>
      <c r="C48" s="5" t="s">
        <v>16</v>
      </c>
    </row>
    <row r="49" spans="1:3" x14ac:dyDescent="0.35">
      <c r="A49" s="5" t="s">
        <v>33</v>
      </c>
      <c r="B49" s="5" t="s">
        <v>149</v>
      </c>
      <c r="C49" s="5" t="s">
        <v>32</v>
      </c>
    </row>
    <row r="50" spans="1:3" x14ac:dyDescent="0.35">
      <c r="A50" s="5" t="s">
        <v>51</v>
      </c>
      <c r="B50" s="5" t="s">
        <v>151</v>
      </c>
      <c r="C50" s="5" t="s">
        <v>16</v>
      </c>
    </row>
    <row r="51" spans="1:3" x14ac:dyDescent="0.35">
      <c r="A51" s="5" t="s">
        <v>33</v>
      </c>
      <c r="B51" s="5" t="s">
        <v>153</v>
      </c>
      <c r="C51" s="5" t="s">
        <v>28</v>
      </c>
    </row>
    <row r="52" spans="1:3" x14ac:dyDescent="0.35">
      <c r="A52" s="5" t="s">
        <v>33</v>
      </c>
      <c r="B52" s="5" t="s">
        <v>155</v>
      </c>
      <c r="C52" s="5" t="s">
        <v>32</v>
      </c>
    </row>
    <row r="53" spans="1:3" x14ac:dyDescent="0.35">
      <c r="A53" s="5" t="s">
        <v>17</v>
      </c>
      <c r="B53" s="5" t="s">
        <v>157</v>
      </c>
      <c r="C53" s="5" t="s">
        <v>16</v>
      </c>
    </row>
    <row r="54" spans="1:3" x14ac:dyDescent="0.35">
      <c r="A54" s="5" t="s">
        <v>51</v>
      </c>
      <c r="B54" s="5" t="s">
        <v>160</v>
      </c>
      <c r="C54" s="5" t="s">
        <v>77</v>
      </c>
    </row>
    <row r="55" spans="1:3" x14ac:dyDescent="0.35">
      <c r="A55" s="5" t="s">
        <v>51</v>
      </c>
      <c r="B55" s="5" t="s">
        <v>163</v>
      </c>
      <c r="C55" s="5" t="s">
        <v>32</v>
      </c>
    </row>
    <row r="56" spans="1:3" x14ac:dyDescent="0.35">
      <c r="A56" s="5" t="s">
        <v>33</v>
      </c>
      <c r="B56" s="5" t="s">
        <v>165</v>
      </c>
      <c r="C56" s="5" t="s">
        <v>36</v>
      </c>
    </row>
    <row r="57" spans="1:3" x14ac:dyDescent="0.35">
      <c r="A57" s="5" t="s">
        <v>57</v>
      </c>
      <c r="B57" s="5" t="s">
        <v>167</v>
      </c>
      <c r="C57" s="5" t="s">
        <v>36</v>
      </c>
    </row>
    <row r="58" spans="1:3" x14ac:dyDescent="0.35">
      <c r="A58" s="5" t="s">
        <v>51</v>
      </c>
      <c r="B58" s="5" t="s">
        <v>170</v>
      </c>
      <c r="C58" s="5" t="s">
        <v>36</v>
      </c>
    </row>
    <row r="59" spans="1:3" x14ac:dyDescent="0.35">
      <c r="A59" s="5" t="s">
        <v>33</v>
      </c>
      <c r="B59" s="5" t="s">
        <v>172</v>
      </c>
      <c r="C59" s="5" t="s">
        <v>16</v>
      </c>
    </row>
    <row r="60" spans="1:3" x14ac:dyDescent="0.35">
      <c r="A60" s="5" t="s">
        <v>17</v>
      </c>
      <c r="B60" s="5" t="s">
        <v>175</v>
      </c>
      <c r="C60" s="5" t="s">
        <v>28</v>
      </c>
    </row>
    <row r="61" spans="1:3" x14ac:dyDescent="0.35">
      <c r="A61" s="5" t="s">
        <v>17</v>
      </c>
      <c r="B61" s="5" t="s">
        <v>177</v>
      </c>
      <c r="C61" s="5" t="s">
        <v>16</v>
      </c>
    </row>
    <row r="62" spans="1:3" x14ac:dyDescent="0.35">
      <c r="A62" s="5" t="s">
        <v>17</v>
      </c>
      <c r="B62" s="5" t="s">
        <v>178</v>
      </c>
      <c r="C62" s="5" t="s">
        <v>16</v>
      </c>
    </row>
    <row r="63" spans="1:3" x14ac:dyDescent="0.35">
      <c r="A63" s="5" t="s">
        <v>33</v>
      </c>
      <c r="B63" s="5" t="s">
        <v>181</v>
      </c>
      <c r="C63" s="5" t="s">
        <v>32</v>
      </c>
    </row>
    <row r="64" spans="1:3" x14ac:dyDescent="0.35">
      <c r="A64" s="5" t="s">
        <v>17</v>
      </c>
      <c r="B64" s="5" t="s">
        <v>183</v>
      </c>
      <c r="C64" s="5" t="s">
        <v>16</v>
      </c>
    </row>
    <row r="65" spans="1:3" x14ac:dyDescent="0.35">
      <c r="A65" s="5" t="s">
        <v>17</v>
      </c>
      <c r="B65" s="5" t="s">
        <v>185</v>
      </c>
      <c r="C65" s="5" t="s">
        <v>77</v>
      </c>
    </row>
    <row r="66" spans="1:3" x14ac:dyDescent="0.35">
      <c r="A66" s="5" t="s">
        <v>33</v>
      </c>
      <c r="B66" s="5" t="s">
        <v>186</v>
      </c>
      <c r="C66" s="5" t="s">
        <v>16</v>
      </c>
    </row>
    <row r="67" spans="1:3" x14ac:dyDescent="0.35">
      <c r="A67" s="5" t="s">
        <v>51</v>
      </c>
      <c r="B67" s="5" t="s">
        <v>188</v>
      </c>
      <c r="C67" s="5" t="s">
        <v>16</v>
      </c>
    </row>
    <row r="68" spans="1:3" x14ac:dyDescent="0.35">
      <c r="A68" s="5" t="s">
        <v>57</v>
      </c>
      <c r="B68" s="5" t="s">
        <v>191</v>
      </c>
      <c r="C68" s="5" t="s">
        <v>16</v>
      </c>
    </row>
    <row r="69" spans="1:3" x14ac:dyDescent="0.35">
      <c r="A69" s="5" t="s">
        <v>17</v>
      </c>
      <c r="B69" s="5" t="s">
        <v>193</v>
      </c>
      <c r="C69" s="5" t="s">
        <v>28</v>
      </c>
    </row>
    <row r="70" spans="1:3" x14ac:dyDescent="0.35">
      <c r="A70" s="5" t="s">
        <v>51</v>
      </c>
      <c r="B70" s="5" t="s">
        <v>195</v>
      </c>
      <c r="C70" s="5" t="s">
        <v>32</v>
      </c>
    </row>
    <row r="71" spans="1:3" x14ac:dyDescent="0.35">
      <c r="A71" s="5" t="s">
        <v>33</v>
      </c>
      <c r="B71" s="5" t="s">
        <v>197</v>
      </c>
      <c r="C71" s="5" t="s">
        <v>32</v>
      </c>
    </row>
    <row r="72" spans="1:3" x14ac:dyDescent="0.35">
      <c r="A72" s="5" t="s">
        <v>57</v>
      </c>
      <c r="B72" s="5" t="s">
        <v>200</v>
      </c>
      <c r="C72" s="5" t="s">
        <v>28</v>
      </c>
    </row>
    <row r="73" spans="1:3" x14ac:dyDescent="0.35">
      <c r="A73" s="5" t="s">
        <v>204</v>
      </c>
      <c r="B73" s="5" t="s">
        <v>202</v>
      </c>
      <c r="C73" s="5" t="s">
        <v>32</v>
      </c>
    </row>
    <row r="74" spans="1:3" x14ac:dyDescent="0.35">
      <c r="A74" s="5" t="s">
        <v>51</v>
      </c>
      <c r="B74" s="5" t="s">
        <v>206</v>
      </c>
      <c r="C74" s="5" t="s">
        <v>32</v>
      </c>
    </row>
    <row r="75" spans="1:3" x14ac:dyDescent="0.35">
      <c r="A75" s="5" t="s">
        <v>204</v>
      </c>
      <c r="B75" s="5" t="s">
        <v>208</v>
      </c>
      <c r="C75" s="5" t="s">
        <v>32</v>
      </c>
    </row>
    <row r="76" spans="1:3" x14ac:dyDescent="0.35">
      <c r="A76" s="5" t="s">
        <v>33</v>
      </c>
      <c r="B76" s="5" t="s">
        <v>210</v>
      </c>
      <c r="C76" s="5" t="s">
        <v>16</v>
      </c>
    </row>
    <row r="77" spans="1:3" x14ac:dyDescent="0.35">
      <c r="A77" s="5" t="s">
        <v>204</v>
      </c>
      <c r="B77" s="5" t="s">
        <v>212</v>
      </c>
      <c r="C77" s="5" t="s">
        <v>16</v>
      </c>
    </row>
    <row r="78" spans="1:3" x14ac:dyDescent="0.35">
      <c r="A78" s="5" t="s">
        <v>33</v>
      </c>
      <c r="B78" s="5" t="s">
        <v>215</v>
      </c>
      <c r="C78" s="5" t="s">
        <v>32</v>
      </c>
    </row>
    <row r="79" spans="1:3" x14ac:dyDescent="0.35">
      <c r="A79" s="5" t="s">
        <v>33</v>
      </c>
      <c r="B79" s="5" t="s">
        <v>218</v>
      </c>
      <c r="C79" s="5" t="s">
        <v>32</v>
      </c>
    </row>
    <row r="80" spans="1:3" x14ac:dyDescent="0.35">
      <c r="A80" s="5" t="s">
        <v>17</v>
      </c>
      <c r="B80" s="5" t="s">
        <v>220</v>
      </c>
      <c r="C80" s="5" t="s">
        <v>16</v>
      </c>
    </row>
    <row r="81" spans="1:3" x14ac:dyDescent="0.35">
      <c r="A81" s="5" t="s">
        <v>224</v>
      </c>
      <c r="B81" s="5" t="s">
        <v>222</v>
      </c>
      <c r="C81" s="5" t="s">
        <v>16</v>
      </c>
    </row>
    <row r="82" spans="1:3" x14ac:dyDescent="0.35">
      <c r="A82" s="5" t="s">
        <v>57</v>
      </c>
      <c r="B82" s="5" t="s">
        <v>225</v>
      </c>
      <c r="C82" s="5" t="s">
        <v>32</v>
      </c>
    </row>
    <row r="83" spans="1:3" x14ac:dyDescent="0.35">
      <c r="A83" s="5" t="s">
        <v>229</v>
      </c>
      <c r="B83" s="5" t="s">
        <v>227</v>
      </c>
      <c r="C83" s="5" t="s">
        <v>28</v>
      </c>
    </row>
    <row r="84" spans="1:3" x14ac:dyDescent="0.35">
      <c r="A84" s="5" t="s">
        <v>232</v>
      </c>
      <c r="B84" s="5" t="s">
        <v>230</v>
      </c>
      <c r="C84" s="5" t="s">
        <v>28</v>
      </c>
    </row>
    <row r="85" spans="1:3" x14ac:dyDescent="0.35">
      <c r="A85" s="5" t="s">
        <v>54</v>
      </c>
      <c r="B85" s="5" t="s">
        <v>234</v>
      </c>
      <c r="C85" s="5" t="s">
        <v>16</v>
      </c>
    </row>
    <row r="86" spans="1:3" x14ac:dyDescent="0.35">
      <c r="A86" s="5" t="s">
        <v>239</v>
      </c>
      <c r="B86" s="5" t="s">
        <v>237</v>
      </c>
      <c r="C86" s="5" t="s">
        <v>16</v>
      </c>
    </row>
    <row r="87" spans="1:3" x14ac:dyDescent="0.35">
      <c r="A87" s="5" t="s">
        <v>224</v>
      </c>
      <c r="B87" s="5" t="s">
        <v>240</v>
      </c>
      <c r="C87" s="5" t="s">
        <v>28</v>
      </c>
    </row>
    <row r="88" spans="1:3" x14ac:dyDescent="0.35">
      <c r="A88" s="5" t="s">
        <v>54</v>
      </c>
      <c r="B88" s="5" t="s">
        <v>242</v>
      </c>
      <c r="C88" s="5" t="s">
        <v>16</v>
      </c>
    </row>
    <row r="89" spans="1:3" x14ac:dyDescent="0.35">
      <c r="A89" s="5" t="s">
        <v>57</v>
      </c>
      <c r="B89" s="5" t="s">
        <v>244</v>
      </c>
      <c r="C89" s="5" t="s">
        <v>16</v>
      </c>
    </row>
    <row r="90" spans="1:3" x14ac:dyDescent="0.35">
      <c r="A90" s="5" t="s">
        <v>54</v>
      </c>
      <c r="B90" s="5" t="s">
        <v>246</v>
      </c>
      <c r="C90" s="5" t="s">
        <v>32</v>
      </c>
    </row>
    <row r="91" spans="1:3" x14ac:dyDescent="0.35">
      <c r="A91" s="5" t="s">
        <v>204</v>
      </c>
      <c r="B91" s="5" t="s">
        <v>248</v>
      </c>
      <c r="C91" s="5" t="s">
        <v>28</v>
      </c>
    </row>
    <row r="92" spans="1:3" x14ac:dyDescent="0.35">
      <c r="A92" s="5" t="s">
        <v>229</v>
      </c>
      <c r="B92" s="5" t="s">
        <v>250</v>
      </c>
      <c r="C92" s="5" t="s">
        <v>32</v>
      </c>
    </row>
    <row r="93" spans="1:3" x14ac:dyDescent="0.35">
      <c r="A93" s="5" t="s">
        <v>232</v>
      </c>
      <c r="B93" s="5" t="s">
        <v>252</v>
      </c>
      <c r="C93" s="5" t="s">
        <v>16</v>
      </c>
    </row>
    <row r="94" spans="1:3" x14ac:dyDescent="0.35">
      <c r="A94" s="5" t="s">
        <v>57</v>
      </c>
      <c r="B94" s="5" t="s">
        <v>255</v>
      </c>
      <c r="C94" s="5" t="s">
        <v>32</v>
      </c>
    </row>
    <row r="95" spans="1:3" x14ac:dyDescent="0.35">
      <c r="A95" s="5" t="s">
        <v>229</v>
      </c>
      <c r="B95" s="5" t="s">
        <v>257</v>
      </c>
      <c r="C95" s="5" t="s">
        <v>32</v>
      </c>
    </row>
    <row r="96" spans="1:3" x14ac:dyDescent="0.35">
      <c r="A96" s="5" t="s">
        <v>232</v>
      </c>
      <c r="B96" s="5" t="s">
        <v>259</v>
      </c>
      <c r="C96" s="5" t="s">
        <v>32</v>
      </c>
    </row>
    <row r="97" spans="1:3" x14ac:dyDescent="0.35">
      <c r="A97" s="5" t="s">
        <v>54</v>
      </c>
      <c r="B97" s="5" t="s">
        <v>261</v>
      </c>
      <c r="C97" s="5" t="s">
        <v>32</v>
      </c>
    </row>
    <row r="98" spans="1:3" x14ac:dyDescent="0.35">
      <c r="A98" s="5" t="s">
        <v>239</v>
      </c>
      <c r="B98" s="5" t="s">
        <v>263</v>
      </c>
      <c r="C98" s="5" t="s">
        <v>16</v>
      </c>
    </row>
    <row r="99" spans="1:3" x14ac:dyDescent="0.35">
      <c r="A99" s="5" t="s">
        <v>229</v>
      </c>
      <c r="B99" s="5" t="s">
        <v>265</v>
      </c>
      <c r="C99" s="5" t="s">
        <v>28</v>
      </c>
    </row>
    <row r="100" spans="1:3" x14ac:dyDescent="0.35">
      <c r="A100" s="5" t="s">
        <v>204</v>
      </c>
      <c r="B100" s="5" t="s">
        <v>267</v>
      </c>
      <c r="C100" s="5" t="s">
        <v>32</v>
      </c>
    </row>
    <row r="101" spans="1:3" x14ac:dyDescent="0.35">
      <c r="A101" s="5" t="s">
        <v>229</v>
      </c>
      <c r="B101" s="5" t="s">
        <v>269</v>
      </c>
      <c r="C101" s="5" t="s">
        <v>16</v>
      </c>
    </row>
    <row r="102" spans="1:3" x14ac:dyDescent="0.35">
      <c r="A102" s="5" t="s">
        <v>232</v>
      </c>
      <c r="B102" s="5" t="s">
        <v>272</v>
      </c>
      <c r="C102" s="5" t="s">
        <v>32</v>
      </c>
    </row>
    <row r="103" spans="1:3" x14ac:dyDescent="0.35">
      <c r="A103" s="5" t="s">
        <v>57</v>
      </c>
      <c r="B103" s="5" t="s">
        <v>275</v>
      </c>
      <c r="C103" s="5" t="s">
        <v>32</v>
      </c>
    </row>
    <row r="104" spans="1:3" x14ac:dyDescent="0.35">
      <c r="A104" s="5" t="s">
        <v>229</v>
      </c>
      <c r="B104" s="5" t="s">
        <v>277</v>
      </c>
      <c r="C104" s="5" t="s">
        <v>77</v>
      </c>
    </row>
    <row r="105" spans="1:3" x14ac:dyDescent="0.35">
      <c r="A105" s="5" t="s">
        <v>232</v>
      </c>
      <c r="B105" s="5" t="s">
        <v>279</v>
      </c>
      <c r="C105" s="5" t="s">
        <v>77</v>
      </c>
    </row>
    <row r="106" spans="1:3" x14ac:dyDescent="0.35">
      <c r="A106" s="5" t="s">
        <v>54</v>
      </c>
      <c r="B106" s="5" t="s">
        <v>281</v>
      </c>
      <c r="C106" s="5" t="s">
        <v>28</v>
      </c>
    </row>
    <row r="107" spans="1:3" x14ac:dyDescent="0.35">
      <c r="A107" s="5" t="s">
        <v>204</v>
      </c>
      <c r="B107" s="5" t="s">
        <v>284</v>
      </c>
      <c r="C107" s="5" t="s">
        <v>28</v>
      </c>
    </row>
    <row r="108" spans="1:3" x14ac:dyDescent="0.35">
      <c r="A108" s="5" t="s">
        <v>57</v>
      </c>
      <c r="B108" s="5" t="s">
        <v>287</v>
      </c>
      <c r="C108" s="5" t="s">
        <v>36</v>
      </c>
    </row>
    <row r="109" spans="1:3" x14ac:dyDescent="0.35">
      <c r="A109" s="5" t="s">
        <v>54</v>
      </c>
      <c r="B109" s="5" t="s">
        <v>289</v>
      </c>
      <c r="C109" s="5" t="s">
        <v>42</v>
      </c>
    </row>
    <row r="110" spans="1:3" x14ac:dyDescent="0.35">
      <c r="A110" s="5" t="s">
        <v>232</v>
      </c>
      <c r="B110" s="5" t="s">
        <v>292</v>
      </c>
      <c r="C110" s="5" t="s">
        <v>42</v>
      </c>
    </row>
    <row r="111" spans="1:3" x14ac:dyDescent="0.35">
      <c r="A111" s="5" t="s">
        <v>297</v>
      </c>
      <c r="B111" s="5" t="s">
        <v>295</v>
      </c>
      <c r="C111" s="5" t="s">
        <v>42</v>
      </c>
    </row>
    <row r="112" spans="1:3" x14ac:dyDescent="0.35">
      <c r="A112" s="5" t="s">
        <v>297</v>
      </c>
      <c r="B112" s="5" t="s">
        <v>298</v>
      </c>
      <c r="C112" s="5" t="s">
        <v>42</v>
      </c>
    </row>
    <row r="113" spans="1:3" x14ac:dyDescent="0.35">
      <c r="A113" s="5" t="s">
        <v>297</v>
      </c>
      <c r="B113" s="5" t="s">
        <v>300</v>
      </c>
      <c r="C113" s="5" t="s">
        <v>28</v>
      </c>
    </row>
    <row r="114" spans="1:3" x14ac:dyDescent="0.35">
      <c r="A114" s="5" t="s">
        <v>297</v>
      </c>
      <c r="B114" s="5" t="s">
        <v>303</v>
      </c>
      <c r="C114" s="5" t="s">
        <v>28</v>
      </c>
    </row>
    <row r="115" spans="1:3" x14ac:dyDescent="0.35">
      <c r="A115" s="5" t="s">
        <v>297</v>
      </c>
      <c r="B115" s="5" t="s">
        <v>305</v>
      </c>
      <c r="C115" s="5" t="s">
        <v>28</v>
      </c>
    </row>
    <row r="116" spans="1:3" x14ac:dyDescent="0.35">
      <c r="A116" s="5" t="s">
        <v>297</v>
      </c>
      <c r="B116" s="5" t="s">
        <v>307</v>
      </c>
      <c r="C116" s="5" t="s">
        <v>36</v>
      </c>
    </row>
    <row r="117" spans="1:3" x14ac:dyDescent="0.35">
      <c r="A117" s="5" t="s">
        <v>297</v>
      </c>
      <c r="B117" s="5" t="s">
        <v>309</v>
      </c>
      <c r="C117" s="5" t="s">
        <v>16</v>
      </c>
    </row>
    <row r="118" spans="1:3" x14ac:dyDescent="0.35">
      <c r="A118" s="5" t="s">
        <v>297</v>
      </c>
      <c r="B118" s="5" t="s">
        <v>311</v>
      </c>
      <c r="C118" s="5" t="s">
        <v>28</v>
      </c>
    </row>
    <row r="119" spans="1:3" x14ac:dyDescent="0.35">
      <c r="A119" s="5" t="s">
        <v>297</v>
      </c>
      <c r="B119" s="5" t="s">
        <v>313</v>
      </c>
      <c r="C119" s="5" t="s">
        <v>16</v>
      </c>
    </row>
    <row r="120" spans="1:3" x14ac:dyDescent="0.35">
      <c r="A120" s="5" t="s">
        <v>297</v>
      </c>
      <c r="B120" s="5" t="s">
        <v>316</v>
      </c>
      <c r="C120" s="5" t="s">
        <v>32</v>
      </c>
    </row>
    <row r="121" spans="1:3" x14ac:dyDescent="0.35">
      <c r="A121" s="5" t="s">
        <v>297</v>
      </c>
      <c r="B121" s="5" t="s">
        <v>318</v>
      </c>
      <c r="C121" s="5" t="s">
        <v>16</v>
      </c>
    </row>
    <row r="122" spans="1:3" x14ac:dyDescent="0.35">
      <c r="A122" s="5" t="s">
        <v>297</v>
      </c>
      <c r="B122" s="5" t="s">
        <v>320</v>
      </c>
      <c r="C122" s="5" t="s">
        <v>16</v>
      </c>
    </row>
    <row r="123" spans="1:3" x14ac:dyDescent="0.35">
      <c r="A123" s="5" t="s">
        <v>297</v>
      </c>
      <c r="B123" s="5" t="s">
        <v>322</v>
      </c>
      <c r="C123" s="5" t="s">
        <v>32</v>
      </c>
    </row>
    <row r="124" spans="1:3" x14ac:dyDescent="0.35">
      <c r="A124" s="5" t="s">
        <v>297</v>
      </c>
      <c r="B124" s="5" t="s">
        <v>324</v>
      </c>
      <c r="C124" s="5" t="s">
        <v>32</v>
      </c>
    </row>
    <row r="125" spans="1:3" x14ac:dyDescent="0.35">
      <c r="A125"/>
      <c r="B125"/>
      <c r="C125"/>
    </row>
    <row r="126" spans="1:3" x14ac:dyDescent="0.35">
      <c r="A126"/>
      <c r="B126"/>
      <c r="C126"/>
    </row>
    <row r="127" spans="1:3" x14ac:dyDescent="0.35">
      <c r="A127"/>
      <c r="B127"/>
      <c r="C127"/>
    </row>
    <row r="128" spans="1:3" x14ac:dyDescent="0.35">
      <c r="A128"/>
      <c r="B128"/>
      <c r="C128"/>
    </row>
    <row r="129" customFormat="1" x14ac:dyDescent="0.35"/>
    <row r="130" customFormat="1" x14ac:dyDescent="0.35"/>
    <row r="131" customFormat="1" x14ac:dyDescent="0.35"/>
    <row r="132" customFormat="1" x14ac:dyDescent="0.35"/>
    <row r="133" customFormat="1" x14ac:dyDescent="0.35"/>
    <row r="134" customFormat="1" x14ac:dyDescent="0.35"/>
    <row r="135" customFormat="1" x14ac:dyDescent="0.35"/>
    <row r="136" customFormat="1" x14ac:dyDescent="0.35"/>
    <row r="137" customFormat="1" x14ac:dyDescent="0.35"/>
    <row r="138" customFormat="1" x14ac:dyDescent="0.35"/>
  </sheetData>
  <conditionalFormatting sqref="B2:B118">
    <cfRule type="duplicateValues" dxfId="1" priority="11"/>
  </conditionalFormatting>
  <conditionalFormatting sqref="B2:B124">
    <cfRule type="duplicateValues" dxfId="0" priority="13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A06CD-D2B4-454D-877D-62EA1FF90F20}">
  <sheetPr codeName="Sheet3">
    <tabColor theme="4" tint="0.39997558519241921"/>
  </sheetPr>
  <dimension ref="A1:B3"/>
  <sheetViews>
    <sheetView workbookViewId="0">
      <selection sqref="A1:B3"/>
    </sheetView>
  </sheetViews>
  <sheetFormatPr defaultRowHeight="14.5" x14ac:dyDescent="0.35"/>
  <cols>
    <col min="1" max="1" width="11.90625" bestFit="1" customWidth="1"/>
    <col min="2" max="2" width="5" bestFit="1" customWidth="1"/>
  </cols>
  <sheetData>
    <row r="1" spans="1:2" x14ac:dyDescent="0.35">
      <c r="A1" s="14" t="s">
        <v>9</v>
      </c>
      <c r="B1" s="14" t="s">
        <v>331</v>
      </c>
    </row>
    <row r="2" spans="1:2" x14ac:dyDescent="0.35">
      <c r="A2" t="s">
        <v>19</v>
      </c>
      <c r="B2" t="s">
        <v>327</v>
      </c>
    </row>
    <row r="3" spans="1:2" x14ac:dyDescent="0.35">
      <c r="A3" t="s">
        <v>334</v>
      </c>
      <c r="B3" t="s">
        <v>328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1DEE2-9EAF-49D4-B992-55A87E57A8C2}">
  <sheetPr codeName="Sheet6">
    <tabColor theme="4" tint="0.39997558519241921"/>
  </sheetPr>
  <dimension ref="A1:C8"/>
  <sheetViews>
    <sheetView workbookViewId="0">
      <selection sqref="A1:C8"/>
    </sheetView>
  </sheetViews>
  <sheetFormatPr defaultRowHeight="14.5" x14ac:dyDescent="0.35"/>
  <cols>
    <col min="1" max="1" width="11.90625" bestFit="1" customWidth="1"/>
    <col min="2" max="2" width="15.36328125" bestFit="1" customWidth="1"/>
    <col min="3" max="3" width="10.81640625" bestFit="1" customWidth="1"/>
  </cols>
  <sheetData>
    <row r="1" spans="1:3" x14ac:dyDescent="0.35">
      <c r="A1" s="14" t="s">
        <v>329</v>
      </c>
      <c r="B1" s="14" t="s">
        <v>6</v>
      </c>
      <c r="C1" s="14" t="s">
        <v>330</v>
      </c>
    </row>
    <row r="2" spans="1:3" x14ac:dyDescent="0.35">
      <c r="A2" t="s">
        <v>332</v>
      </c>
      <c r="B2" t="s">
        <v>132</v>
      </c>
      <c r="C2" s="7">
        <v>40000000</v>
      </c>
    </row>
    <row r="3" spans="1:3" x14ac:dyDescent="0.35">
      <c r="A3" t="s">
        <v>333</v>
      </c>
      <c r="B3" t="s">
        <v>36</v>
      </c>
      <c r="C3" s="7">
        <v>25000000</v>
      </c>
    </row>
    <row r="4" spans="1:3" x14ac:dyDescent="0.35">
      <c r="A4" t="s">
        <v>335</v>
      </c>
      <c r="B4" t="s">
        <v>42</v>
      </c>
      <c r="C4" s="7">
        <v>18000000</v>
      </c>
    </row>
    <row r="5" spans="1:3" x14ac:dyDescent="0.35">
      <c r="A5" t="s">
        <v>336</v>
      </c>
      <c r="B5" t="s">
        <v>77</v>
      </c>
      <c r="C5" s="7">
        <v>12000000</v>
      </c>
    </row>
    <row r="6" spans="1:3" x14ac:dyDescent="0.35">
      <c r="A6" t="s">
        <v>337</v>
      </c>
      <c r="B6" t="s">
        <v>28</v>
      </c>
      <c r="C6" s="7">
        <v>7000000</v>
      </c>
    </row>
    <row r="7" spans="1:3" x14ac:dyDescent="0.35">
      <c r="A7" t="s">
        <v>338</v>
      </c>
      <c r="B7" t="s">
        <v>16</v>
      </c>
      <c r="C7" s="7">
        <v>5000000</v>
      </c>
    </row>
    <row r="8" spans="1:3" x14ac:dyDescent="0.35">
      <c r="A8" t="s">
        <v>339</v>
      </c>
      <c r="B8" t="s">
        <v>32</v>
      </c>
      <c r="C8" s="7">
        <v>4000000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9DE7-E0F5-42C8-929D-9477DCAE0497}">
  <sheetPr codeName="Sheet7">
    <tabColor theme="4" tint="0.39997558519241921"/>
  </sheetPr>
  <dimension ref="A1:B9"/>
  <sheetViews>
    <sheetView workbookViewId="0">
      <selection activeCell="A2" sqref="A2:B9"/>
    </sheetView>
  </sheetViews>
  <sheetFormatPr defaultRowHeight="14.5" x14ac:dyDescent="0.35"/>
  <cols>
    <col min="1" max="1" width="15.36328125" bestFit="1" customWidth="1"/>
    <col min="2" max="2" width="16.08984375" bestFit="1" customWidth="1"/>
    <col min="3" max="8" width="15.6328125" customWidth="1"/>
  </cols>
  <sheetData>
    <row r="1" spans="1:2" x14ac:dyDescent="0.35">
      <c r="B1" s="12" t="s">
        <v>344</v>
      </c>
    </row>
    <row r="2" spans="1:2" x14ac:dyDescent="0.35">
      <c r="A2" s="13" t="s">
        <v>6</v>
      </c>
      <c r="B2" s="13" t="s">
        <v>342</v>
      </c>
    </row>
    <row r="3" spans="1:2" x14ac:dyDescent="0.35">
      <c r="A3" t="s">
        <v>132</v>
      </c>
      <c r="B3" s="12">
        <v>2</v>
      </c>
    </row>
    <row r="4" spans="1:2" x14ac:dyDescent="0.35">
      <c r="A4" t="s">
        <v>36</v>
      </c>
      <c r="B4" s="12">
        <v>2</v>
      </c>
    </row>
    <row r="5" spans="1:2" x14ac:dyDescent="0.35">
      <c r="A5" t="s">
        <v>42</v>
      </c>
      <c r="B5" s="12">
        <v>2</v>
      </c>
    </row>
    <row r="6" spans="1:2" x14ac:dyDescent="0.35">
      <c r="A6" t="s">
        <v>77</v>
      </c>
      <c r="B6" s="12">
        <v>2</v>
      </c>
    </row>
    <row r="7" spans="1:2" x14ac:dyDescent="0.35">
      <c r="A7" t="s">
        <v>28</v>
      </c>
      <c r="B7" s="12">
        <v>1</v>
      </c>
    </row>
    <row r="8" spans="1:2" x14ac:dyDescent="0.35">
      <c r="A8" t="s">
        <v>16</v>
      </c>
      <c r="B8" s="12">
        <v>1</v>
      </c>
    </row>
    <row r="9" spans="1:2" x14ac:dyDescent="0.35">
      <c r="A9" t="s">
        <v>32</v>
      </c>
      <c r="B9" s="1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Question</vt:lpstr>
      <vt:lpstr>Helper Pivot Tabel</vt:lpstr>
      <vt:lpstr>Your Dashboard</vt:lpstr>
      <vt:lpstr>Data Karyawan</vt:lpstr>
      <vt:lpstr>Master Position</vt:lpstr>
      <vt:lpstr>Master Gender</vt:lpstr>
      <vt:lpstr>Master Salary</vt:lpstr>
      <vt:lpstr>Master Bonus</vt:lpstr>
      <vt:lpstr>Base</vt:lpstr>
      <vt:lpstr>NamaKaryawan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Moch Ardi Firmansyah</dc:creator>
  <cp:lastModifiedBy>lindaroza509@gmail.com</cp:lastModifiedBy>
  <dcterms:created xsi:type="dcterms:W3CDTF">2024-11-12T14:25:37Z</dcterms:created>
  <dcterms:modified xsi:type="dcterms:W3CDTF">2026-05-08T07:58:52Z</dcterms:modified>
</cp:coreProperties>
</file>